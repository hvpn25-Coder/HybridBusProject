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Data\Hybrid_Vehicle\HybridBusProject\data\"/>
    </mc:Choice>
  </mc:AlternateContent>
  <xr:revisionPtr revIDLastSave="0" documentId="13_ncr:1_{8F78FA87-A213-4611-8B2D-C49EA40A0A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Tyre_Catalog" sheetId="2" r:id="rId2"/>
    <sheet name="Final_Drive_Catalog" sheetId="3" r:id="rId3"/>
    <sheet name="Bus_Mass_Catalog" sheetId="4" r:id="rId4"/>
    <sheet name="Vehicle_Parameters" sheetId="5" r:id="rId5"/>
    <sheet name="Aux_Load_Profiles" sheetId="6" r:id="rId6"/>
    <sheet name="Environment" sheetId="7" r:id="rId7"/>
    <sheet name="Control_Calibration" sheetId="8" r:id="rId8"/>
    <sheet name="Energy_Prices" sheetId="9" r:id="rId9"/>
    <sheet name="Optimization_Settings" sheetId="10" r:id="rId10"/>
    <sheet name="Units_and_Definitions" sheetId="11" r:id="rId11"/>
    <sheet name="Change_Log" sheetId="12" r:id="rId12"/>
  </sheets>
  <definedNames>
    <definedName name="AuxIDs">Aux_Load_Profiles!$A$2:$A$13</definedName>
    <definedName name="ControlIDs">Control_Calibration!$A$2:$A$13</definedName>
    <definedName name="DriveIDs">Final_Drive_Catalog!$A$2:$A$13</definedName>
    <definedName name="EnvironmentIDs">Environment!$A$2:$A$13</definedName>
    <definedName name="MassIDs">Bus_Mass_Catalog!$A$2:$A$13</definedName>
    <definedName name="TyreIDs">Tyre_Catalog!$A$2:$A$13</definedName>
  </definedNames>
  <calcPr calcId="0"/>
</workbook>
</file>

<file path=xl/sharedStrings.xml><?xml version="1.0" encoding="utf-8"?>
<sst xmlns="http://schemas.openxmlformats.org/spreadsheetml/2006/main" count="460" uniqueCount="307">
  <si>
    <t>Hybrid-Electric Bus Component Database</t>
  </si>
  <si>
    <t>DatabaseVersion</t>
  </si>
  <si>
    <t>SelectedRoute</t>
  </si>
  <si>
    <t>SelectedBattery1</t>
  </si>
  <si>
    <t>SelectedBattery2</t>
  </si>
  <si>
    <t>SelectedMotor</t>
  </si>
  <si>
    <t>SelectedGenset</t>
  </si>
  <si>
    <t>SelectedTyre</t>
  </si>
  <si>
    <t>SelectedFinalDrive</t>
  </si>
  <si>
    <t>SelectedMass</t>
  </si>
  <si>
    <t>SelectedAuxProfile</t>
  </si>
  <si>
    <t>SelectedEnvironment</t>
  </si>
  <si>
    <t>SelectedControl</t>
  </si>
  <si>
    <t>FuelPrice</t>
  </si>
  <si>
    <t>ElectricityPrice</t>
  </si>
  <si>
    <t>InitialBattery1SOE</t>
  </si>
  <si>
    <t>InitialBattery2SOE</t>
  </si>
  <si>
    <t>InitialActiveBattery</t>
  </si>
  <si>
    <t>BatterySetMultiplier</t>
  </si>
  <si>
    <t>LoadMass_t</t>
  </si>
  <si>
    <t>OperatingMode</t>
  </si>
  <si>
    <t>OptimizationMode</t>
  </si>
  <si>
    <t>FuelTankCapacity</t>
  </si>
  <si>
    <t>AuxiliaryScalarOverride</t>
  </si>
  <si>
    <t>InputWarnings</t>
  </si>
  <si>
    <t>ConfigurationSummary</t>
  </si>
  <si>
    <t>Value</t>
  </si>
  <si>
    <t>1.8.0</t>
  </si>
  <si>
    <t>VECTO-URBAN</t>
  </si>
  <si>
    <t>BAT-12</t>
  </si>
  <si>
    <t>MOT-12</t>
  </si>
  <si>
    <t>GEN-05</t>
  </si>
  <si>
    <t>TYR-05</t>
  </si>
  <si>
    <t>FD-08</t>
  </si>
  <si>
    <t>MASS-01</t>
  </si>
  <si>
    <t>AUX-04</t>
  </si>
  <si>
    <t>ENV-07</t>
  </si>
  <si>
    <t>CAL-05</t>
  </si>
  <si>
    <t>Manual Configuration</t>
  </si>
  <si>
    <t>EquivalentReplenishment</t>
  </si>
  <si>
    <t>Run validate_hybrid_bus_database.m</t>
  </si>
  <si>
    <t>Two rear hub motors; dual batteries; diesel genset</t>
  </si>
  <si>
    <t>Unit / note</t>
  </si>
  <si>
    <t>Workbook plus extensible modular route and component data files</t>
  </si>
  <si>
    <t>ID</t>
  </si>
  <si>
    <t>Legacy reference only; app mass is calculated</t>
  </si>
  <si>
    <t>EUR/L</t>
  </si>
  <si>
    <t>EUR/kWh</t>
  </si>
  <si>
    <t>fraction (app displays %)</t>
  </si>
  <si>
    <t>1 or 2</t>
  </si>
  <si>
    <t>Hybrid: whole sets; BEV: 0.5-set increments</t>
  </si>
  <si>
    <t>Editable passenger, luggage, and cargo load in metric tonnes</t>
  </si>
  <si>
    <t>Manual Configuration / Automatic Optimization</t>
  </si>
  <si>
    <t>EquivalentReplenishment / ChargeSustaining</t>
  </si>
  <si>
    <t>L</t>
  </si>
  <si>
    <t>multiplier</t>
  </si>
  <si>
    <t>status</t>
  </si>
  <si>
    <t>text</t>
  </si>
  <si>
    <t>ComponentID</t>
  </si>
  <si>
    <t>TYR-01</t>
  </si>
  <si>
    <t>TYR-02</t>
  </si>
  <si>
    <t>TYR-03</t>
  </si>
  <si>
    <t>TYR-04</t>
  </si>
  <si>
    <t>TYR-06</t>
  </si>
  <si>
    <t>TYR-07</t>
  </si>
  <si>
    <t>TYR-08</t>
  </si>
  <si>
    <t>TYR-09</t>
  </si>
  <si>
    <t>TYR-10</t>
  </si>
  <si>
    <t>TYR-11</t>
  </si>
  <si>
    <t>TYR-12</t>
  </si>
  <si>
    <t>Name</t>
  </si>
  <si>
    <t>Bus Tyre 01</t>
  </si>
  <si>
    <t>Bus Tyre 02</t>
  </si>
  <si>
    <t>Bus Tyre 03</t>
  </si>
  <si>
    <t>Bus Tyre 04</t>
  </si>
  <si>
    <t>Bus Tyre 05</t>
  </si>
  <si>
    <t>Bus Tyre 06</t>
  </si>
  <si>
    <t>Bus Tyre 07</t>
  </si>
  <si>
    <t>Bus Tyre 08</t>
  </si>
  <si>
    <t>Bus Tyre 09</t>
  </si>
  <si>
    <t>Bus Tyre 10</t>
  </si>
  <si>
    <t>Bus Tyre 11</t>
  </si>
  <si>
    <t>Bus Tyre 12</t>
  </si>
  <si>
    <t>Manufacturer</t>
  </si>
  <si>
    <t>Concept Manufacturer</t>
  </si>
  <si>
    <t>LoadedRadius_m</t>
  </si>
  <si>
    <t>RollingResistanceCoefficient</t>
  </si>
  <si>
    <t>MaxLoad_kg</t>
  </si>
  <si>
    <t>OptimizationEnabled</t>
  </si>
  <si>
    <t>Notes</t>
  </si>
  <si>
    <t>Synthetic engineering concept data</t>
  </si>
  <si>
    <t>FD-01</t>
  </si>
  <si>
    <t>FD-02</t>
  </si>
  <si>
    <t>FD-03</t>
  </si>
  <si>
    <t>FD-04</t>
  </si>
  <si>
    <t>FD-05</t>
  </si>
  <si>
    <t>FD-06</t>
  </si>
  <si>
    <t>FD-07</t>
  </si>
  <si>
    <t>FD-09</t>
  </si>
  <si>
    <t>FD-10</t>
  </si>
  <si>
    <t>FD-11</t>
  </si>
  <si>
    <t>FD-12</t>
  </si>
  <si>
    <t>Fixed Reduction 01</t>
  </si>
  <si>
    <t>Fixed Reduction 02</t>
  </si>
  <si>
    <t>Fixed Reduction 03</t>
  </si>
  <si>
    <t>Fixed Reduction 04</t>
  </si>
  <si>
    <t>Fixed Reduction 05</t>
  </si>
  <si>
    <t>Fixed Reduction 06</t>
  </si>
  <si>
    <t>Fixed Reduction 07</t>
  </si>
  <si>
    <t>Fixed Reduction 08</t>
  </si>
  <si>
    <t>Fixed Reduction 09</t>
  </si>
  <si>
    <t>Fixed Reduction 10</t>
  </si>
  <si>
    <t>Fixed Reduction 11</t>
  </si>
  <si>
    <t>Fixed Reduction 12</t>
  </si>
  <si>
    <t>Ratio</t>
  </si>
  <si>
    <t>MotoringEfficiency</t>
  </si>
  <si>
    <t>RegenEfficiency</t>
  </si>
  <si>
    <t>Mass_kg</t>
  </si>
  <si>
    <t>MASS-02</t>
  </si>
  <si>
    <t>MASS-03</t>
  </si>
  <si>
    <t>MASS-04</t>
  </si>
  <si>
    <t>MASS-05</t>
  </si>
  <si>
    <t>MASS-06</t>
  </si>
  <si>
    <t>MASS-07</t>
  </si>
  <si>
    <t>MASS-08</t>
  </si>
  <si>
    <t>MASS-09</t>
  </si>
  <si>
    <t>MASS-10</t>
  </si>
  <si>
    <t>MASS-11</t>
  </si>
  <si>
    <t>MASS-12</t>
  </si>
  <si>
    <t>Total Vehicle Mass 19000 kg</t>
  </si>
  <si>
    <t>Total Vehicle Mass 22700 kg</t>
  </si>
  <si>
    <t>Total Vehicle Mass 26500 kg</t>
  </si>
  <si>
    <t>Total Vehicle Mass 30200 kg</t>
  </si>
  <si>
    <t>Total Vehicle Mass 33900 kg</t>
  </si>
  <si>
    <t>Total Vehicle Mass 37600 kg</t>
  </si>
  <si>
    <t>Total Vehicle Mass 41400 kg</t>
  </si>
  <si>
    <t>Total Vehicle Mass 45100 kg</t>
  </si>
  <si>
    <t>Total Vehicle Mass 48800 kg</t>
  </si>
  <si>
    <t>Total Vehicle Mass 52500 kg</t>
  </si>
  <si>
    <t>Total Vehicle Mass 56300 kg</t>
  </si>
  <si>
    <t>Total Vehicle Mass 60000 kg</t>
  </si>
  <si>
    <t>TotalVehicleMass_kg</t>
  </si>
  <si>
    <t>CurbMass_kg</t>
  </si>
  <si>
    <t>PassengerCount</t>
  </si>
  <si>
    <t>PassengerMass_kg</t>
  </si>
  <si>
    <t>CargoMass_kg</t>
  </si>
  <si>
    <t>TotalVehicleMass_kg includes curb, occupants, cargo, and powertrain</t>
  </si>
  <si>
    <t>Gravity_m_s2</t>
  </si>
  <si>
    <t>DragCoefficient</t>
  </si>
  <si>
    <t>FrontalArea_m2</t>
  </si>
  <si>
    <t>FuelTank_L</t>
  </si>
  <si>
    <t>GridChargeEfficiency</t>
  </si>
  <si>
    <t>AccelerationFilterTau_s</t>
  </si>
  <si>
    <t>EnergyBalanceTolerance_kWh</t>
  </si>
  <si>
    <t>SampleTime_s</t>
  </si>
  <si>
    <t>AUX-01</t>
  </si>
  <si>
    <t>AUX-02</t>
  </si>
  <si>
    <t>AUX-03</t>
  </si>
  <si>
    <t>AUX-05</t>
  </si>
  <si>
    <t>AUX-06</t>
  </si>
  <si>
    <t>AUX-07</t>
  </si>
  <si>
    <t>AUX-08</t>
  </si>
  <si>
    <t>AUX-09</t>
  </si>
  <si>
    <t>AUX-10</t>
  </si>
  <si>
    <t>AUX-11</t>
  </si>
  <si>
    <t>AUX-12</t>
  </si>
  <si>
    <t>Auxiliary Profile 01</t>
  </si>
  <si>
    <t>Auxiliary Profile 02</t>
  </si>
  <si>
    <t>Auxiliary Profile 03</t>
  </si>
  <si>
    <t>Auxiliary Profile 04</t>
  </si>
  <si>
    <t>Auxiliary Profile 05</t>
  </si>
  <si>
    <t>Auxiliary Profile 06</t>
  </si>
  <si>
    <t>Auxiliary Profile 07</t>
  </si>
  <si>
    <t>Auxiliary Profile 08</t>
  </si>
  <si>
    <t>Auxiliary Profile 09</t>
  </si>
  <si>
    <t>Auxiliary Profile 10</t>
  </si>
  <si>
    <t>Auxiliary Profile 11</t>
  </si>
  <si>
    <t>Auxiliary Profile 12</t>
  </si>
  <si>
    <t>BasePower_kW</t>
  </si>
  <si>
    <t>ColdHVAC_kW_per_C</t>
  </si>
  <si>
    <t>HotHVAC_kW_per_C</t>
  </si>
  <si>
    <t>ComfortTemperature_C</t>
  </si>
  <si>
    <t>ENV-01</t>
  </si>
  <si>
    <t>ENV-02</t>
  </si>
  <si>
    <t>ENV-03</t>
  </si>
  <si>
    <t>ENV-04</t>
  </si>
  <si>
    <t>ENV-05</t>
  </si>
  <si>
    <t>ENV-06</t>
  </si>
  <si>
    <t>ENV-08</t>
  </si>
  <si>
    <t>ENV-09</t>
  </si>
  <si>
    <t>ENV-10</t>
  </si>
  <si>
    <t>ENV-11</t>
  </si>
  <si>
    <t>ENV-12</t>
  </si>
  <si>
    <t>Ambient 01</t>
  </si>
  <si>
    <t>Ambient 02</t>
  </si>
  <si>
    <t>Ambient 03</t>
  </si>
  <si>
    <t>Ambient 04</t>
  </si>
  <si>
    <t>Ambient 05</t>
  </si>
  <si>
    <t>Ambient 06</t>
  </si>
  <si>
    <t>Ambient 07</t>
  </si>
  <si>
    <t>Ambient 08</t>
  </si>
  <si>
    <t>Ambient 09</t>
  </si>
  <si>
    <t>Ambient 10</t>
  </si>
  <si>
    <t>Ambient 11</t>
  </si>
  <si>
    <t>Ambient 12</t>
  </si>
  <si>
    <t>Temperature_C</t>
  </si>
  <si>
    <t>AirDensity_kg_m3</t>
  </si>
  <si>
    <t>Headwind_m_s</t>
  </si>
  <si>
    <t>CAL-01</t>
  </si>
  <si>
    <t>CAL-02</t>
  </si>
  <si>
    <t>CAL-03</t>
  </si>
  <si>
    <t>CAL-04</t>
  </si>
  <si>
    <t>CAL-06</t>
  </si>
  <si>
    <t>CAL-07</t>
  </si>
  <si>
    <t>CAL-08</t>
  </si>
  <si>
    <t>CAL-09</t>
  </si>
  <si>
    <t>CAL-10</t>
  </si>
  <si>
    <t>CAL-11</t>
  </si>
  <si>
    <t>CAL-12</t>
  </si>
  <si>
    <t>Control Calibration 01</t>
  </si>
  <si>
    <t>Control Calibration 02</t>
  </si>
  <si>
    <t>Control Calibration 03</t>
  </si>
  <si>
    <t>Control Calibration 04</t>
  </si>
  <si>
    <t>Control Calibration 05</t>
  </si>
  <si>
    <t>Control Calibration 06</t>
  </si>
  <si>
    <t>Control Calibration 07</t>
  </si>
  <si>
    <t>Control Calibration 08</t>
  </si>
  <si>
    <t>Control Calibration 09</t>
  </si>
  <si>
    <t>Control Calibration 10</t>
  </si>
  <si>
    <t>Control Calibration 11</t>
  </si>
  <si>
    <t>Control Calibration 12</t>
  </si>
  <si>
    <t>SwitchLowSOE</t>
  </si>
  <si>
    <t>GensetStartSOE</t>
  </si>
  <si>
    <t>GensetStopSOE</t>
  </si>
  <si>
    <t>RegenRedirectSOE</t>
  </si>
  <si>
    <t>MinActiveTime_s</t>
  </si>
  <si>
    <t>MinGensetTime_s</t>
  </si>
  <si>
    <t>GensetTargetSOE</t>
  </si>
  <si>
    <t>Fixed 30% role-swap threshold; optimum-power genset charges standby to its upper SOE limit</t>
  </si>
  <si>
    <t>FuelPrice_per_L</t>
  </si>
  <si>
    <t>ElectricityPrice_per_kWh</t>
  </si>
  <si>
    <t>CreditTerminalSurplus</t>
  </si>
  <si>
    <t>MaxConfigurations</t>
  </si>
  <si>
    <t>CompatibilityFilter</t>
  </si>
  <si>
    <t>TerminalSOETolerance</t>
  </si>
  <si>
    <t>ComparisonMethod</t>
  </si>
  <si>
    <t>Term</t>
  </si>
  <si>
    <t>P_bat_kW</t>
  </si>
  <si>
    <t>P_wheel_kW</t>
  </si>
  <si>
    <t>SOE</t>
  </si>
  <si>
    <t>E_grid_equiv</t>
  </si>
  <si>
    <t>Fuel_L</t>
  </si>
  <si>
    <t>Cost_per_km</t>
  </si>
  <si>
    <t>Definition</t>
  </si>
  <si>
    <t>Positive when battery supplies DC bus; negative when charging</t>
  </si>
  <si>
    <t>Positive traction; negative braking demand</t>
  </si>
  <si>
    <t>Stored usable energy divided by nominal usable energy</t>
  </si>
  <si>
    <t>Terminal battery deficit divided by grid charge efficiency</t>
  </si>
  <si>
    <t>Diesel volume consumed from BSFC and start penalty</t>
  </si>
  <si>
    <t>Fuel plus grid-equivalent electricity cost divided by route distance</t>
  </si>
  <si>
    <t>Unit</t>
  </si>
  <si>
    <t>kW</t>
  </si>
  <si>
    <t>1</t>
  </si>
  <si>
    <t>kWh</t>
  </si>
  <si>
    <t>currency/km</t>
  </si>
  <si>
    <t>Timestamp</t>
  </si>
  <si>
    <t>Version</t>
  </si>
  <si>
    <t>1.0.0</t>
  </si>
  <si>
    <t>1.1.0</t>
  </si>
  <si>
    <t>1.2.0</t>
  </si>
  <si>
    <t>1.3.0</t>
  </si>
  <si>
    <t>1.4.0</t>
  </si>
  <si>
    <t>1.5.0</t>
  </si>
  <si>
    <t>1.6.0</t>
  </si>
  <si>
    <t>1.6.1</t>
  </si>
  <si>
    <t>1.7.0</t>
  </si>
  <si>
    <t>1.7.1</t>
  </si>
  <si>
    <t>1.7.2</t>
  </si>
  <si>
    <t>1.7.3</t>
  </si>
  <si>
    <t>1.7.4</t>
  </si>
  <si>
    <t>1.7.5</t>
  </si>
  <si>
    <t>1.7.6</t>
  </si>
  <si>
    <t>1.7.7</t>
  </si>
  <si>
    <t>1.7.8</t>
  </si>
  <si>
    <t>1.7.9</t>
  </si>
  <si>
    <t>Change</t>
  </si>
  <si>
    <t>Initial synthetic concept database</t>
  </si>
  <si>
    <t>Added official EU VECTO Urban, Suburban and Coach missions</t>
  </si>
  <si>
    <t>Expanded explicit total vehicle mass variants from 19000 kg to 60000 kg</t>
  </si>
  <si>
    <t>Added eight OSM/OSRM European long-distance coach corridors from 638 to 916 km</t>
  </si>
  <si>
    <t>Separated genset from traction bus; fixed 30% battery role swap and constant optimum-power standby charging</t>
  </si>
  <si>
    <t>Added OSRM latitude/longitude route geometry and endpoint metadata for geographic corridors</t>
  </si>
  <si>
    <t>Replaced nine synthetic concept routes with geographic German city circuits</t>
  </si>
  <si>
    <t>Changed the default initial Battery 2 SOE from 75% to 20%</t>
  </si>
  <si>
    <t>Added cached Copernicus DEM GLO-90 elevation to geographic route geometry for 3D mapping</t>
  </si>
  <si>
    <t>Added Hybrid whole-set and BEV half-set battery bank multiplication</t>
  </si>
  <si>
    <t>Replaced fixed mass selection with calculated 15-tonne base curb plus hardware and editable load</t>
  </si>
  <si>
    <t>Moved route datasets from workbook sheets into one self-contained MAT file per route</t>
  </si>
  <si>
    <t>Moved battery and motor catalogs from workbook sheets into one MATLAB data script per component</t>
  </si>
  <si>
    <t>Consolidated each genset, engine, generator, fuel map, and efficiency map into one MATLAB data script</t>
  </si>
  <si>
    <t>Added battery charge power, discharge power, and internal resistance maps versus SOE and temperature</t>
  </si>
  <si>
    <t>Enabled user-defined battery, motor, and genset IDs with recursive discovery and regeneration-safe add-on files</t>
  </si>
  <si>
    <t>Replaced battery power-limit maps with SOE/temperature current-limit maps and derived terminal power capability</t>
  </si>
  <si>
    <t>Added battery open-circuit-voltage maps versus SOE and temperature and integrated them into terminal calculations</t>
  </si>
  <si>
    <t>Added per-motor torque-speed loss maps and integrated map-based conversion losses</t>
  </si>
  <si>
    <t>Author</t>
  </si>
  <si>
    <t>Codex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</si>
</sst>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sz val="11"/>
      <name val="Aptos"/>
      <family val="2"/>
    </font>
    <font>
      <b/>
      <sz val="11"/>
      <color rgb="FFFFFFFF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22" fontId="1" fillId="0" borderId="1" xfId="0" applyNumberFormat="1" applyFont="1" applyBorder="1"/>
    <xf numFmtId="0" fontId="1" fillId="3" borderId="0" xfId="0" applyFont="1" applyFill="1"/>
  </cellXfs>
  <cellStyles count="1">
    <cellStyle name="Normal" xfId="0" builtinId="0"/>
  </cellStyles>
  <dxfs count="9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  <numFmt numFmtId="27" formatCode="dd/mm/yyyy\ 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BDA0E-A5AE-48C2-98BF-9E30F2B37239}" name="tbl_02" displayName="tbl_02" ref="A1:H13" totalsRowShown="0" headerRowDxfId="87" dataDxfId="88">
  <autoFilter ref="A1:H13" xr:uid="{61ABDA0E-A5AE-48C2-98BF-9E30F2B37239}"/>
  <tableColumns count="8">
    <tableColumn id="1" xr3:uid="{D03462A1-F844-4D2C-9637-51919AE6D31B}" name="ComponentID" dataDxfId="96"/>
    <tableColumn id="2" xr3:uid="{EAE05D42-7324-4329-BE9C-EE72D2DAE204}" name="Name" dataDxfId="95"/>
    <tableColumn id="3" xr3:uid="{42C79754-4982-4B33-BE93-CB30033E085B}" name="Manufacturer" dataDxfId="94"/>
    <tableColumn id="4" xr3:uid="{93A5505C-5A9B-4153-806C-9CC5342FB446}" name="LoadedRadius_m" dataDxfId="93"/>
    <tableColumn id="5" xr3:uid="{D1014273-7E07-4063-B312-BED45A721D51}" name="RollingResistanceCoefficient" dataDxfId="92"/>
    <tableColumn id="6" xr3:uid="{1D43A27B-5621-492C-B0C1-109F36FA4505}" name="MaxLoad_kg" dataDxfId="91"/>
    <tableColumn id="7" xr3:uid="{A511ACC7-59E0-4DF2-8BF6-439324079310}" name="OptimizationEnabled" dataDxfId="90"/>
    <tableColumn id="8" xr3:uid="{FA7B6550-39E9-4AF2-A9CF-658E197B1CDD}" name="Notes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402A54-B1AC-410F-AA67-90523F1E6527}" name="tbl_03" displayName="tbl_03" ref="A1:I13" totalsRowShown="0" headerRowDxfId="76" dataDxfId="77">
  <autoFilter ref="A1:I13" xr:uid="{5F402A54-B1AC-410F-AA67-90523F1E6527}"/>
  <tableColumns count="9">
    <tableColumn id="1" xr3:uid="{07749411-A037-4034-A04C-FCD567892462}" name="ComponentID" dataDxfId="86"/>
    <tableColumn id="2" xr3:uid="{DD67A624-DA98-40D2-9961-C93864888344}" name="Name" dataDxfId="85"/>
    <tableColumn id="3" xr3:uid="{F49EF1AB-612D-465D-BAE2-D005F7121B78}" name="Manufacturer" dataDxfId="84"/>
    <tableColumn id="4" xr3:uid="{6E502D2C-D8DB-40C2-9561-B81446DA5318}" name="Ratio" dataDxfId="83"/>
    <tableColumn id="5" xr3:uid="{9344E16E-A409-4ABF-B075-4841BBAFAE29}" name="MotoringEfficiency" dataDxfId="82"/>
    <tableColumn id="6" xr3:uid="{5E264AF0-01FC-46D0-A31F-F583867B1E25}" name="RegenEfficiency" dataDxfId="81"/>
    <tableColumn id="7" xr3:uid="{25CD63F8-A87F-4B7F-B816-5BA64366CBB9}" name="Mass_kg" dataDxfId="80"/>
    <tableColumn id="8" xr3:uid="{F3C8CB36-317A-4B16-AB92-4A794301D2DE}" name="OptimizationEnabled" dataDxfId="79"/>
    <tableColumn id="9" xr3:uid="{6834B409-BC55-4653-BA5A-C46BD14D91D1}" name="Notes" dataDxfId="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82FB0B-6E9D-4C64-AA1B-BC9407D59B18}" name="tbl_04" displayName="tbl_04" ref="A1:I13" totalsRowShown="0" headerRowDxfId="65" dataDxfId="66">
  <autoFilter ref="A1:I13" xr:uid="{0182FB0B-6E9D-4C64-AA1B-BC9407D59B18}"/>
  <tableColumns count="9">
    <tableColumn id="1" xr3:uid="{99380257-E21B-466A-B646-23ADFCE329C2}" name="ComponentID" dataDxfId="75"/>
    <tableColumn id="2" xr3:uid="{D7DB1809-1275-4B89-AD49-4B1044E9391B}" name="Name" dataDxfId="74"/>
    <tableColumn id="3" xr3:uid="{E298DDEF-46BE-48DD-8F2B-BC5B934B8BFB}" name="TotalVehicleMass_kg" dataDxfId="73"/>
    <tableColumn id="4" xr3:uid="{7EF049FC-B8AB-47E4-8555-A22F8658840D}" name="CurbMass_kg" dataDxfId="72"/>
    <tableColumn id="5" xr3:uid="{0FBC4CF7-1B6E-4FF0-A7C7-509020FB1FFC}" name="PassengerCount" dataDxfId="71"/>
    <tableColumn id="6" xr3:uid="{C8B56EAA-2228-43A7-8573-687EEB3D04C4}" name="PassengerMass_kg" dataDxfId="70"/>
    <tableColumn id="7" xr3:uid="{341B0519-19CA-4AF8-B5B7-EF7F70F7AF0B}" name="CargoMass_kg" dataDxfId="69"/>
    <tableColumn id="8" xr3:uid="{96F08AA3-59B3-4B29-B9EB-0C31805F9725}" name="OptimizationEnabled" dataDxfId="68"/>
    <tableColumn id="9" xr3:uid="{FCE5C7D3-6088-41CA-8327-FA6046058FEA}" name="Notes" dataDxfId="6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F41907-8E05-4F32-AE81-BC5F17D7B3D9}" name="tbl_05" displayName="tbl_05" ref="A1:I2" totalsRowShown="0" headerRowDxfId="54" dataDxfId="55">
  <autoFilter ref="A1:I2" xr:uid="{D6F41907-8E05-4F32-AE81-BC5F17D7B3D9}"/>
  <tableColumns count="9">
    <tableColumn id="1" xr3:uid="{65E6B3B1-7CD2-44AC-85DD-EDCAC231EDAC}" name="Gravity_m_s2" dataDxfId="64"/>
    <tableColumn id="2" xr3:uid="{0B25AB0D-7E64-4BD4-93F0-7254510BE20C}" name="DragCoefficient" dataDxfId="63"/>
    <tableColumn id="3" xr3:uid="{11B57B59-6972-4CFC-9F6D-AA711C04ACCD}" name="FrontalArea_m2" dataDxfId="62"/>
    <tableColumn id="4" xr3:uid="{5D586C03-EACC-456E-BAF8-7A34AB794495}" name="RollingResistanceCoefficient" dataDxfId="61"/>
    <tableColumn id="5" xr3:uid="{70F9EADE-0DF4-4110-B724-5EDCC77158D9}" name="FuelTank_L" dataDxfId="60"/>
    <tableColumn id="6" xr3:uid="{BF923B5F-E148-40FD-8467-03102B541ADB}" name="GridChargeEfficiency" dataDxfId="59"/>
    <tableColumn id="7" xr3:uid="{AC45B9BC-7B04-4FDF-84F1-6C707A989A92}" name="AccelerationFilterTau_s" dataDxfId="58"/>
    <tableColumn id="8" xr3:uid="{1F2607B0-63DA-4E30-8A9E-41F61A5EF639}" name="EnergyBalanceTolerance_kWh" dataDxfId="57"/>
    <tableColumn id="9" xr3:uid="{E07EED48-14B8-4210-B249-45078DA72844}" name="SampleTime_s" dataDxfId="5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1419C9-294C-4CAF-AA5B-69196A662E9E}" name="tbl_06" displayName="tbl_06" ref="A1:H13" totalsRowShown="0" headerRowDxfId="44" dataDxfId="45">
  <autoFilter ref="A1:H13" xr:uid="{481419C9-294C-4CAF-AA5B-69196A662E9E}"/>
  <tableColumns count="8">
    <tableColumn id="1" xr3:uid="{6004A2ED-2EE0-474B-B5A6-9CCEA433A438}" name="ComponentID" dataDxfId="53"/>
    <tableColumn id="2" xr3:uid="{6DCE6303-FC7D-4CBC-BDC6-62F1705D50B2}" name="Name" dataDxfId="52"/>
    <tableColumn id="3" xr3:uid="{E1A7BCF0-5AAF-4834-B09A-290C990FD903}" name="BasePower_kW" dataDxfId="51"/>
    <tableColumn id="4" xr3:uid="{86141BBE-DCAA-4D29-8702-DCDD7D8A4651}" name="ColdHVAC_kW_per_C" dataDxfId="50"/>
    <tableColumn id="5" xr3:uid="{E61F50AF-30C1-4787-B1E0-B182782A36C1}" name="HotHVAC_kW_per_C" dataDxfId="49"/>
    <tableColumn id="6" xr3:uid="{87E983A5-D3C4-401A-A226-26295A1FA728}" name="ComfortTemperature_C" dataDxfId="48"/>
    <tableColumn id="7" xr3:uid="{D960CB23-CC53-4306-9FBA-19726CD02C8F}" name="OptimizationEnabled" dataDxfId="47"/>
    <tableColumn id="8" xr3:uid="{3C674200-786D-4B49-867A-75B41034BE91}" name="Notes" dataDxfId="4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D054DC-C872-4F9C-B399-D2F967D07DC7}" name="tbl_07" displayName="tbl_07" ref="A1:G13" totalsRowShown="0" headerRowDxfId="35" dataDxfId="36">
  <autoFilter ref="A1:G13" xr:uid="{01D054DC-C872-4F9C-B399-D2F967D07DC7}"/>
  <tableColumns count="7">
    <tableColumn id="1" xr3:uid="{60CBCAF2-19F4-432C-8B88-AB40CA03EA88}" name="ComponentID" dataDxfId="43"/>
    <tableColumn id="2" xr3:uid="{857AC2EF-6A22-4812-A248-E90838F169BD}" name="Name" dataDxfId="42"/>
    <tableColumn id="3" xr3:uid="{C622BF55-4FDB-41B4-A869-EE2D2C65AE17}" name="Temperature_C" dataDxfId="41"/>
    <tableColumn id="4" xr3:uid="{1A4E0BCB-8216-452B-86BD-A436C2170F52}" name="AirDensity_kg_m3" dataDxfId="40"/>
    <tableColumn id="5" xr3:uid="{6A9FFA46-413D-427D-84A2-3290489E68C5}" name="Headwind_m_s" dataDxfId="39"/>
    <tableColumn id="6" xr3:uid="{70562B5C-E096-4620-8C62-A721E1FBE823}" name="OptimizationEnabled" dataDxfId="38"/>
    <tableColumn id="7" xr3:uid="{12B74D8D-B65B-42C8-9F3D-3CDFD315CBF6}" name="Notes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C4713D-07DF-4892-9EE9-8291DE4808DE}" name="tbl_08" displayName="tbl_08" ref="A1:K13" totalsRowShown="0" headerRowDxfId="22" dataDxfId="23">
  <autoFilter ref="A1:K13" xr:uid="{DFC4713D-07DF-4892-9EE9-8291DE4808DE}"/>
  <tableColumns count="11">
    <tableColumn id="1" xr3:uid="{EFD730F0-4876-480B-A7E3-C2FD1E254952}" name="ComponentID" dataDxfId="34"/>
    <tableColumn id="2" xr3:uid="{241C8717-67F8-406E-8ACA-8143D7659386}" name="Name" dataDxfId="33"/>
    <tableColumn id="3" xr3:uid="{BC4ABD84-CD76-4A1E-BAC5-AB59A943654C}" name="SwitchLowSOE" dataDxfId="32"/>
    <tableColumn id="4" xr3:uid="{ACAFA8AE-560B-4006-979F-5D6EC5024B72}" name="GensetStartSOE" dataDxfId="31"/>
    <tableColumn id="5" xr3:uid="{B66F82EA-F787-4CDC-8932-6F7B6E20272C}" name="GensetStopSOE" dataDxfId="30"/>
    <tableColumn id="6" xr3:uid="{42E82A63-980F-42B2-AC37-237AD6267712}" name="RegenRedirectSOE" dataDxfId="29"/>
    <tableColumn id="7" xr3:uid="{C707F361-5AA8-457B-84FE-D645845CAA19}" name="MinActiveTime_s" dataDxfId="28"/>
    <tableColumn id="8" xr3:uid="{73D30112-0842-4F60-B136-ECF80B5E2583}" name="MinGensetTime_s" dataDxfId="27"/>
    <tableColumn id="9" xr3:uid="{0D133D83-5B98-4C4D-A20D-797022C99927}" name="GensetTargetSOE" dataDxfId="26"/>
    <tableColumn id="10" xr3:uid="{80E6FFE7-DA95-4651-B800-2CE6B946667C}" name="OptimizationEnabled" dataDxfId="25"/>
    <tableColumn id="11" xr3:uid="{3F19D0AC-CEA6-4A5B-A623-E3C4E94F59A2}" name="Note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601EC4-6EE2-49A4-B7D6-C03F53D6124F}" name="tbl_09" displayName="tbl_09" ref="A1:C2" totalsRowShown="0" headerRowDxfId="17" dataDxfId="18">
  <autoFilter ref="A1:C2" xr:uid="{89601EC4-6EE2-49A4-B7D6-C03F53D6124F}"/>
  <tableColumns count="3">
    <tableColumn id="1" xr3:uid="{18CC76F5-1E68-4D9C-B23B-117795BF34FB}" name="FuelPrice_per_L" dataDxfId="21"/>
    <tableColumn id="2" xr3:uid="{BA5B0DF4-E0C4-4F04-BF7E-FC65E9FEEA25}" name="ElectricityPrice_per_kWh" dataDxfId="20"/>
    <tableColumn id="3" xr3:uid="{D52DE0F5-885C-4FC2-898D-9E0E3E67C279}" name="CreditTerminalSurplus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9B423D8-8210-4F9E-B4FE-4F4FC9D163C5}" name="tbl_10" displayName="tbl_10" ref="A1:D2" totalsRowShown="0" headerRowDxfId="11" dataDxfId="12">
  <autoFilter ref="A1:D2" xr:uid="{09B423D8-8210-4F9E-B4FE-4F4FC9D163C5}"/>
  <tableColumns count="4">
    <tableColumn id="1" xr3:uid="{F5AFAB9A-138A-4666-A9A3-CCA8819D2BF8}" name="MaxConfigurations" dataDxfId="16"/>
    <tableColumn id="2" xr3:uid="{48F9E04B-773D-4164-ABAE-A48AD22C6C02}" name="CompatibilityFilter" dataDxfId="15"/>
    <tableColumn id="3" xr3:uid="{F01546C3-61C6-49FE-A287-38513606A321}" name="TerminalSOETolerance" dataDxfId="14"/>
    <tableColumn id="4" xr3:uid="{7A0551BE-23C9-47DD-80DB-CEF0D8B06152}" name="ComparisonMethod" dataDxfId="1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B37F289-733B-4E48-993C-A83C15AC37A3}" name="tbl_11" displayName="tbl_11" ref="A1:C7" totalsRowShown="0" headerRowDxfId="6" dataDxfId="7">
  <autoFilter ref="A1:C7" xr:uid="{0B37F289-733B-4E48-993C-A83C15AC37A3}"/>
  <tableColumns count="3">
    <tableColumn id="1" xr3:uid="{24FB6CEB-5EE9-4541-9E36-0AD6987A548F}" name="Term" dataDxfId="10"/>
    <tableColumn id="2" xr3:uid="{982CD041-B453-4B8A-A4AC-797F4BE4AD00}" name="Definition" dataDxfId="9"/>
    <tableColumn id="3" xr3:uid="{C355D448-CD48-453D-A16D-BD6F79ED8B22}" name="Unit" dataDxfId="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E9B95FD-6527-4E68-AB7E-7AA9E24E0BDC}" name="tbl_12" displayName="tbl_12" ref="A1:D20" totalsRowShown="0" headerRowDxfId="0" dataDxfId="1">
  <autoFilter ref="A1:D20" xr:uid="{7E9B95FD-6527-4E68-AB7E-7AA9E24E0BDC}"/>
  <tableColumns count="4">
    <tableColumn id="1" xr3:uid="{796B35D2-2EC7-41E3-9DAD-B41D401616D5}" name="Timestamp" dataDxfId="5"/>
    <tableColumn id="2" xr3:uid="{8C223D66-4558-42C0-9196-B3AEB44551C7}" name="Version" dataDxfId="4"/>
    <tableColumn id="3" xr3:uid="{1BF2F002-A240-41C8-8458-69072B2E7D3E}" name="Change" dataDxfId="3"/>
    <tableColumn id="4" xr3:uid="{D6C40C05-1736-43B8-AA4C-798CDD053A83}" name="Auth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>
      <pane ySplit="1" topLeftCell="A2" activePane="bottomLeft" state="frozenSplit"/>
      <selection pane="bottomLeft"/>
    </sheetView>
  </sheetViews>
  <sheetFormatPr defaultRowHeight="14.4"/>
  <cols>
    <col min="1" max="1" width="31.77734375" customWidth="1"/>
    <col min="2" max="3" width="34.77734375" customWidth="1"/>
  </cols>
  <sheetData>
    <row r="1" spans="1:3">
      <c r="A1" s="2" t="s">
        <v>0</v>
      </c>
      <c r="B1" s="2" t="s">
        <v>26</v>
      </c>
      <c r="C1" s="2" t="s">
        <v>42</v>
      </c>
    </row>
    <row r="2" spans="1:3">
      <c r="A2" s="1" t="s">
        <v>1</v>
      </c>
      <c r="B2" s="4" t="s">
        <v>27</v>
      </c>
      <c r="C2" s="1" t="s">
        <v>43</v>
      </c>
    </row>
    <row r="3" spans="1:3">
      <c r="A3" s="1" t="s">
        <v>2</v>
      </c>
      <c r="B3" s="4" t="s">
        <v>28</v>
      </c>
      <c r="C3" s="1" t="s">
        <v>44</v>
      </c>
    </row>
    <row r="4" spans="1:3">
      <c r="A4" s="1" t="s">
        <v>3</v>
      </c>
      <c r="B4" s="4" t="s">
        <v>29</v>
      </c>
      <c r="C4" s="1" t="s">
        <v>44</v>
      </c>
    </row>
    <row r="5" spans="1:3">
      <c r="A5" s="1" t="s">
        <v>4</v>
      </c>
      <c r="B5" s="4" t="s">
        <v>29</v>
      </c>
      <c r="C5" s="1" t="s">
        <v>44</v>
      </c>
    </row>
    <row r="6" spans="1:3">
      <c r="A6" s="1" t="s">
        <v>5</v>
      </c>
      <c r="B6" s="4" t="s">
        <v>30</v>
      </c>
      <c r="C6" s="1" t="s">
        <v>44</v>
      </c>
    </row>
    <row r="7" spans="1:3">
      <c r="A7" s="1" t="s">
        <v>6</v>
      </c>
      <c r="B7" s="4" t="s">
        <v>31</v>
      </c>
      <c r="C7" s="1" t="s">
        <v>44</v>
      </c>
    </row>
    <row r="8" spans="1:3">
      <c r="A8" s="1" t="s">
        <v>7</v>
      </c>
      <c r="B8" s="4" t="s">
        <v>32</v>
      </c>
      <c r="C8" s="1" t="s">
        <v>44</v>
      </c>
    </row>
    <row r="9" spans="1:3">
      <c r="A9" s="1" t="s">
        <v>8</v>
      </c>
      <c r="B9" s="4" t="s">
        <v>33</v>
      </c>
      <c r="C9" s="1" t="s">
        <v>44</v>
      </c>
    </row>
    <row r="10" spans="1:3">
      <c r="A10" s="1" t="s">
        <v>9</v>
      </c>
      <c r="B10" s="4" t="s">
        <v>34</v>
      </c>
      <c r="C10" s="1" t="s">
        <v>45</v>
      </c>
    </row>
    <row r="11" spans="1:3">
      <c r="A11" s="1" t="s">
        <v>10</v>
      </c>
      <c r="B11" s="4" t="s">
        <v>35</v>
      </c>
      <c r="C11" s="1" t="s">
        <v>44</v>
      </c>
    </row>
    <row r="12" spans="1:3">
      <c r="A12" s="1" t="s">
        <v>11</v>
      </c>
      <c r="B12" s="4" t="s">
        <v>36</v>
      </c>
      <c r="C12" s="1" t="s">
        <v>44</v>
      </c>
    </row>
    <row r="13" spans="1:3">
      <c r="A13" s="1" t="s">
        <v>12</v>
      </c>
      <c r="B13" s="4" t="s">
        <v>37</v>
      </c>
      <c r="C13" s="1" t="s">
        <v>44</v>
      </c>
    </row>
    <row r="14" spans="1:3">
      <c r="A14" s="1" t="s">
        <v>13</v>
      </c>
      <c r="B14" s="4">
        <v>2.1</v>
      </c>
      <c r="C14" s="1" t="s">
        <v>46</v>
      </c>
    </row>
    <row r="15" spans="1:3">
      <c r="A15" s="1" t="s">
        <v>14</v>
      </c>
      <c r="B15" s="4">
        <v>0.4</v>
      </c>
      <c r="C15" s="1" t="s">
        <v>47</v>
      </c>
    </row>
    <row r="16" spans="1:3">
      <c r="A16" s="1" t="s">
        <v>15</v>
      </c>
      <c r="B16" s="4">
        <v>0.85</v>
      </c>
      <c r="C16" s="1" t="s">
        <v>48</v>
      </c>
    </row>
    <row r="17" spans="1:3">
      <c r="A17" s="1" t="s">
        <v>16</v>
      </c>
      <c r="B17" s="4">
        <v>0.2</v>
      </c>
      <c r="C17" s="1" t="s">
        <v>48</v>
      </c>
    </row>
    <row r="18" spans="1:3">
      <c r="A18" s="1" t="s">
        <v>17</v>
      </c>
      <c r="B18" s="4">
        <v>1</v>
      </c>
      <c r="C18" s="1" t="s">
        <v>49</v>
      </c>
    </row>
    <row r="19" spans="1:3">
      <c r="A19" s="1" t="s">
        <v>18</v>
      </c>
      <c r="B19" s="4">
        <v>1</v>
      </c>
      <c r="C19" s="1" t="s">
        <v>50</v>
      </c>
    </row>
    <row r="20" spans="1:3">
      <c r="A20" s="1" t="s">
        <v>19</v>
      </c>
      <c r="B20" s="4">
        <v>0</v>
      </c>
      <c r="C20" s="1" t="s">
        <v>51</v>
      </c>
    </row>
    <row r="21" spans="1:3">
      <c r="A21" s="1" t="s">
        <v>20</v>
      </c>
      <c r="B21" s="4" t="s">
        <v>38</v>
      </c>
      <c r="C21" s="1" t="s">
        <v>52</v>
      </c>
    </row>
    <row r="22" spans="1:3">
      <c r="A22" s="1" t="s">
        <v>21</v>
      </c>
      <c r="B22" s="4" t="s">
        <v>39</v>
      </c>
      <c r="C22" s="1" t="s">
        <v>53</v>
      </c>
    </row>
    <row r="23" spans="1:3">
      <c r="A23" s="1" t="s">
        <v>22</v>
      </c>
      <c r="B23" s="4">
        <v>420</v>
      </c>
      <c r="C23" s="1" t="s">
        <v>54</v>
      </c>
    </row>
    <row r="24" spans="1:3">
      <c r="A24" s="1" t="s">
        <v>23</v>
      </c>
      <c r="B24" s="4">
        <v>1</v>
      </c>
      <c r="C24" s="1" t="s">
        <v>55</v>
      </c>
    </row>
    <row r="25" spans="1:3">
      <c r="A25" s="1" t="s">
        <v>24</v>
      </c>
      <c r="B25" s="1" t="s">
        <v>40</v>
      </c>
      <c r="C25" s="1" t="s">
        <v>56</v>
      </c>
    </row>
    <row r="26" spans="1:3">
      <c r="A26" s="1" t="s">
        <v>25</v>
      </c>
      <c r="B26" s="1" t="s">
        <v>41</v>
      </c>
      <c r="C26" s="1" t="s">
        <v>57</v>
      </c>
    </row>
  </sheetData>
  <dataValidations count="8">
    <dataValidation type="list" allowBlank="1" showInputMessage="1" showErrorMessage="1" sqref="B8" xr:uid="{66F357A5-8F35-461F-A2BC-E8CD6B464C23}">
      <formula1>TyreIDs</formula1>
    </dataValidation>
    <dataValidation type="list" allowBlank="1" showInputMessage="1" showErrorMessage="1" sqref="B9" xr:uid="{4BFAC241-8BCD-419B-976A-FB5958ED1C76}">
      <formula1>DriveIDs</formula1>
    </dataValidation>
    <dataValidation type="list" allowBlank="1" showInputMessage="1" showErrorMessage="1" sqref="B10" xr:uid="{F9E207FC-F428-4669-8BB5-CA4CC91EAD7A}">
      <formula1>MassIDs</formula1>
    </dataValidation>
    <dataValidation type="list" allowBlank="1" showInputMessage="1" showErrorMessage="1" sqref="B11" xr:uid="{A4952FCD-1C8C-4C39-A839-BC36591F7DCF}">
      <formula1>AuxIDs</formula1>
    </dataValidation>
    <dataValidation type="list" allowBlank="1" showInputMessage="1" showErrorMessage="1" sqref="B12" xr:uid="{F2BD43C4-0EA2-411B-8286-C76E321A925C}">
      <formula1>EnvironmentIDs</formula1>
    </dataValidation>
    <dataValidation type="list" allowBlank="1" showInputMessage="1" showErrorMessage="1" sqref="B13" xr:uid="{B78CC6BB-31A8-42A8-A56B-E33C093D094D}">
      <formula1>ControlIDs</formula1>
    </dataValidation>
    <dataValidation type="list" allowBlank="1" showInputMessage="1" showErrorMessage="1" sqref="B19" xr:uid="{082CE42C-4680-41C4-BD6B-6E0F52FCB75E}">
      <formula1>"Manual Configuration,Automatic Optimization"</formula1>
    </dataValidation>
    <dataValidation type="list" allowBlank="1" showInputMessage="1" showErrorMessage="1" sqref="B20" xr:uid="{2B1B6EB6-683E-441E-A49C-2792165AD778}">
      <formula1>"EquivalentReplenishment,ChargeSustaining"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/>
  </sheetViews>
  <sheetFormatPr defaultRowHeight="14.4"/>
  <cols>
    <col min="1" max="1" width="15.5546875" customWidth="1"/>
    <col min="2" max="2" width="11" bestFit="1" customWidth="1"/>
    <col min="3" max="3" width="20.6640625" bestFit="1" customWidth="1"/>
    <col min="4" max="4" width="18.5546875" customWidth="1"/>
    <col min="5" max="5" width="29.109375" customWidth="1"/>
    <col min="6" max="6" width="14.109375" customWidth="1"/>
    <col min="7" max="7" width="22" customWidth="1"/>
    <col min="8" max="8" width="31.77734375" bestFit="1" customWidth="1"/>
  </cols>
  <sheetData>
    <row r="1" spans="1:8">
      <c r="A1" s="2" t="s">
        <v>58</v>
      </c>
      <c r="B1" s="2" t="s">
        <v>70</v>
      </c>
      <c r="C1" s="2" t="s">
        <v>83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</row>
    <row r="2" spans="1:8">
      <c r="A2" s="1" t="s">
        <v>59</v>
      </c>
      <c r="B2" s="1" t="s">
        <v>71</v>
      </c>
      <c r="C2" s="1" t="s">
        <v>84</v>
      </c>
      <c r="D2" s="1">
        <v>0.47</v>
      </c>
      <c r="E2" s="1">
        <v>5.4999999999999997E-3</v>
      </c>
      <c r="F2" s="1">
        <v>3200</v>
      </c>
      <c r="G2" s="1" t="b">
        <v>1</v>
      </c>
      <c r="H2" s="1" t="s">
        <v>90</v>
      </c>
    </row>
    <row r="3" spans="1:8">
      <c r="A3" s="1" t="s">
        <v>60</v>
      </c>
      <c r="B3" s="1" t="s">
        <v>72</v>
      </c>
      <c r="C3" s="1" t="s">
        <v>84</v>
      </c>
      <c r="D3" s="1">
        <v>0.47636363636363632</v>
      </c>
      <c r="E3" s="1">
        <v>5.8181818181818178E-3</v>
      </c>
      <c r="F3" s="1">
        <v>3300</v>
      </c>
      <c r="G3" s="1" t="b">
        <v>1</v>
      </c>
      <c r="H3" s="1" t="s">
        <v>90</v>
      </c>
    </row>
    <row r="4" spans="1:8">
      <c r="A4" s="1" t="s">
        <v>61</v>
      </c>
      <c r="B4" s="1" t="s">
        <v>73</v>
      </c>
      <c r="C4" s="1" t="s">
        <v>84</v>
      </c>
      <c r="D4" s="1">
        <v>0.48272727272727273</v>
      </c>
      <c r="E4" s="1">
        <v>6.136363636363636E-3</v>
      </c>
      <c r="F4" s="1">
        <v>3400</v>
      </c>
      <c r="G4" s="1" t="b">
        <v>1</v>
      </c>
      <c r="H4" s="1" t="s">
        <v>90</v>
      </c>
    </row>
    <row r="5" spans="1:8">
      <c r="A5" s="1" t="s">
        <v>62</v>
      </c>
      <c r="B5" s="1" t="s">
        <v>74</v>
      </c>
      <c r="C5" s="1" t="s">
        <v>84</v>
      </c>
      <c r="D5" s="1">
        <v>0.48909090909090908</v>
      </c>
      <c r="E5" s="1">
        <v>6.4545454545454541E-3</v>
      </c>
      <c r="F5" s="1">
        <v>3500</v>
      </c>
      <c r="G5" s="1" t="b">
        <v>1</v>
      </c>
      <c r="H5" s="1" t="s">
        <v>90</v>
      </c>
    </row>
    <row r="6" spans="1:8">
      <c r="A6" s="1" t="s">
        <v>32</v>
      </c>
      <c r="B6" s="1" t="s">
        <v>75</v>
      </c>
      <c r="C6" s="1" t="s">
        <v>84</v>
      </c>
      <c r="D6" s="1">
        <v>0.49545454545454543</v>
      </c>
      <c r="E6" s="1">
        <v>6.7727272727272723E-3</v>
      </c>
      <c r="F6" s="1">
        <v>3600</v>
      </c>
      <c r="G6" s="1" t="b">
        <v>1</v>
      </c>
      <c r="H6" s="1" t="s">
        <v>90</v>
      </c>
    </row>
    <row r="7" spans="1:8">
      <c r="A7" s="1" t="s">
        <v>63</v>
      </c>
      <c r="B7" s="1" t="s">
        <v>76</v>
      </c>
      <c r="C7" s="1" t="s">
        <v>84</v>
      </c>
      <c r="D7" s="1">
        <v>0.50181818181818183</v>
      </c>
      <c r="E7" s="1">
        <v>7.0909090909090904E-3</v>
      </c>
      <c r="F7" s="1">
        <v>3700</v>
      </c>
      <c r="G7" s="1" t="b">
        <v>1</v>
      </c>
      <c r="H7" s="1" t="s">
        <v>90</v>
      </c>
    </row>
    <row r="8" spans="1:8">
      <c r="A8" s="1" t="s">
        <v>64</v>
      </c>
      <c r="B8" s="1" t="s">
        <v>77</v>
      </c>
      <c r="C8" s="1" t="s">
        <v>84</v>
      </c>
      <c r="D8" s="1">
        <v>0.50818181818181818</v>
      </c>
      <c r="E8" s="1">
        <v>7.4090909090909086E-3</v>
      </c>
      <c r="F8" s="1">
        <v>3800</v>
      </c>
      <c r="G8" s="1" t="b">
        <v>1</v>
      </c>
      <c r="H8" s="1" t="s">
        <v>90</v>
      </c>
    </row>
    <row r="9" spans="1:8">
      <c r="A9" s="1" t="s">
        <v>65</v>
      </c>
      <c r="B9" s="1" t="s">
        <v>78</v>
      </c>
      <c r="C9" s="1" t="s">
        <v>84</v>
      </c>
      <c r="D9" s="1">
        <v>0.51454545454545453</v>
      </c>
      <c r="E9" s="1">
        <v>7.7272727272727267E-3</v>
      </c>
      <c r="F9" s="1">
        <v>3900</v>
      </c>
      <c r="G9" s="1" t="b">
        <v>1</v>
      </c>
      <c r="H9" s="1" t="s">
        <v>90</v>
      </c>
    </row>
    <row r="10" spans="1:8">
      <c r="A10" s="1" t="s">
        <v>66</v>
      </c>
      <c r="B10" s="1" t="s">
        <v>79</v>
      </c>
      <c r="C10" s="1" t="s">
        <v>84</v>
      </c>
      <c r="D10" s="1">
        <v>0.52090909090909088</v>
      </c>
      <c r="E10" s="1">
        <v>8.0454545454545449E-3</v>
      </c>
      <c r="F10" s="1">
        <v>4000</v>
      </c>
      <c r="G10" s="1" t="b">
        <v>1</v>
      </c>
      <c r="H10" s="1" t="s">
        <v>90</v>
      </c>
    </row>
    <row r="11" spans="1:8">
      <c r="A11" s="1" t="s">
        <v>67</v>
      </c>
      <c r="B11" s="1" t="s">
        <v>80</v>
      </c>
      <c r="C11" s="1" t="s">
        <v>84</v>
      </c>
      <c r="D11" s="1">
        <v>0.52727272727272734</v>
      </c>
      <c r="E11" s="1">
        <v>8.363636363636363E-3</v>
      </c>
      <c r="F11" s="1">
        <v>4100</v>
      </c>
      <c r="G11" s="1" t="b">
        <v>1</v>
      </c>
      <c r="H11" s="1" t="s">
        <v>90</v>
      </c>
    </row>
    <row r="12" spans="1:8">
      <c r="A12" s="1" t="s">
        <v>68</v>
      </c>
      <c r="B12" s="1" t="s">
        <v>81</v>
      </c>
      <c r="C12" s="1" t="s">
        <v>84</v>
      </c>
      <c r="D12" s="1">
        <v>0.53363636363636369</v>
      </c>
      <c r="E12" s="1">
        <v>8.6818181818181812E-3</v>
      </c>
      <c r="F12" s="1">
        <v>4200</v>
      </c>
      <c r="G12" s="1" t="b">
        <v>1</v>
      </c>
      <c r="H12" s="1" t="s">
        <v>90</v>
      </c>
    </row>
    <row r="13" spans="1:8">
      <c r="A13" s="1" t="s">
        <v>69</v>
      </c>
      <c r="B13" s="1" t="s">
        <v>82</v>
      </c>
      <c r="C13" s="1" t="s">
        <v>84</v>
      </c>
      <c r="D13" s="1">
        <v>0.54</v>
      </c>
      <c r="E13" s="1">
        <v>8.9999999999999993E-3</v>
      </c>
      <c r="F13" s="1">
        <v>4300</v>
      </c>
      <c r="G13" s="1" t="b">
        <v>1</v>
      </c>
      <c r="H13" s="1" t="s"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/>
  </sheetViews>
  <sheetFormatPr defaultRowHeight="14.4"/>
  <cols>
    <col min="1" max="1" width="15.5546875" customWidth="1"/>
    <col min="2" max="2" width="17.5546875" bestFit="1" customWidth="1"/>
    <col min="3" max="3" width="20.6640625" bestFit="1" customWidth="1"/>
    <col min="4" max="4" width="13.33203125" bestFit="1" customWidth="1"/>
    <col min="5" max="5" width="19.88671875" customWidth="1"/>
    <col min="6" max="6" width="17.44140625" customWidth="1"/>
    <col min="7" max="7" width="13.33203125" bestFit="1" customWidth="1"/>
    <col min="8" max="8" width="22" customWidth="1"/>
    <col min="9" max="9" width="31.77734375" bestFit="1" customWidth="1"/>
  </cols>
  <sheetData>
    <row r="1" spans="1:9">
      <c r="A1" s="2" t="s">
        <v>58</v>
      </c>
      <c r="B1" s="2" t="s">
        <v>70</v>
      </c>
      <c r="C1" s="2" t="s">
        <v>83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88</v>
      </c>
      <c r="I1" s="2" t="s">
        <v>89</v>
      </c>
    </row>
    <row r="2" spans="1:9">
      <c r="A2" s="1" t="s">
        <v>91</v>
      </c>
      <c r="B2" s="1" t="s">
        <v>102</v>
      </c>
      <c r="C2" s="1" t="s">
        <v>84</v>
      </c>
      <c r="D2" s="1">
        <v>8</v>
      </c>
      <c r="E2" s="1">
        <v>0.95499999999999996</v>
      </c>
      <c r="F2" s="1">
        <v>0.92</v>
      </c>
      <c r="G2" s="1">
        <v>55</v>
      </c>
      <c r="H2" s="1" t="b">
        <v>1</v>
      </c>
      <c r="I2" s="1" t="s">
        <v>90</v>
      </c>
    </row>
    <row r="3" spans="1:9">
      <c r="A3" s="1" t="s">
        <v>92</v>
      </c>
      <c r="B3" s="1" t="s">
        <v>103</v>
      </c>
      <c r="C3" s="1" t="s">
        <v>84</v>
      </c>
      <c r="D3" s="1">
        <v>8.9090909090909083</v>
      </c>
      <c r="E3" s="1">
        <v>0.95772727272727265</v>
      </c>
      <c r="F3" s="1">
        <v>0.92454545454545456</v>
      </c>
      <c r="G3" s="1">
        <v>59.090909090909093</v>
      </c>
      <c r="H3" s="1" t="b">
        <v>1</v>
      </c>
      <c r="I3" s="1" t="s">
        <v>90</v>
      </c>
    </row>
    <row r="4" spans="1:9">
      <c r="A4" s="1" t="s">
        <v>93</v>
      </c>
      <c r="B4" s="1" t="s">
        <v>104</v>
      </c>
      <c r="C4" s="1" t="s">
        <v>84</v>
      </c>
      <c r="D4" s="1">
        <v>9.8181818181818183</v>
      </c>
      <c r="E4" s="1">
        <v>0.96045454545454545</v>
      </c>
      <c r="F4" s="1">
        <v>0.92909090909090908</v>
      </c>
      <c r="G4" s="1">
        <v>63.18181818181818</v>
      </c>
      <c r="H4" s="1" t="b">
        <v>1</v>
      </c>
      <c r="I4" s="1" t="s">
        <v>90</v>
      </c>
    </row>
    <row r="5" spans="1:9">
      <c r="A5" s="1" t="s">
        <v>94</v>
      </c>
      <c r="B5" s="1" t="s">
        <v>105</v>
      </c>
      <c r="C5" s="1" t="s">
        <v>84</v>
      </c>
      <c r="D5" s="1">
        <v>10.727272727272727</v>
      </c>
      <c r="E5" s="1">
        <v>0.96318181818181814</v>
      </c>
      <c r="F5" s="1">
        <v>0.93363636363636371</v>
      </c>
      <c r="G5" s="1">
        <v>67.27272727272728</v>
      </c>
      <c r="H5" s="1" t="b">
        <v>1</v>
      </c>
      <c r="I5" s="1" t="s">
        <v>90</v>
      </c>
    </row>
    <row r="6" spans="1:9">
      <c r="A6" s="1" t="s">
        <v>95</v>
      </c>
      <c r="B6" s="1" t="s">
        <v>106</v>
      </c>
      <c r="C6" s="1" t="s">
        <v>84</v>
      </c>
      <c r="D6" s="1">
        <v>11.636363636363637</v>
      </c>
      <c r="E6" s="1">
        <v>0.96590909090909083</v>
      </c>
      <c r="F6" s="1">
        <v>0.93818181818181823</v>
      </c>
      <c r="G6" s="1">
        <v>71.36363636363636</v>
      </c>
      <c r="H6" s="1" t="b">
        <v>1</v>
      </c>
      <c r="I6" s="1" t="s">
        <v>90</v>
      </c>
    </row>
    <row r="7" spans="1:9">
      <c r="A7" s="1" t="s">
        <v>96</v>
      </c>
      <c r="B7" s="1" t="s">
        <v>107</v>
      </c>
      <c r="C7" s="1" t="s">
        <v>84</v>
      </c>
      <c r="D7" s="1">
        <v>12.545454545454547</v>
      </c>
      <c r="E7" s="1">
        <v>0.96863636363636363</v>
      </c>
      <c r="F7" s="1">
        <v>0.94272727272727275</v>
      </c>
      <c r="G7" s="1">
        <v>75.454545454545453</v>
      </c>
      <c r="H7" s="1" t="b">
        <v>1</v>
      </c>
      <c r="I7" s="1" t="s">
        <v>90</v>
      </c>
    </row>
    <row r="8" spans="1:9">
      <c r="A8" s="1" t="s">
        <v>97</v>
      </c>
      <c r="B8" s="1" t="s">
        <v>108</v>
      </c>
      <c r="C8" s="1" t="s">
        <v>84</v>
      </c>
      <c r="D8" s="1">
        <v>13.454545454545453</v>
      </c>
      <c r="E8" s="1">
        <v>0.97136363636363632</v>
      </c>
      <c r="F8" s="1">
        <v>0.94727272727272727</v>
      </c>
      <c r="G8" s="1">
        <v>79.545454545454547</v>
      </c>
      <c r="H8" s="1" t="b">
        <v>1</v>
      </c>
      <c r="I8" s="1" t="s">
        <v>90</v>
      </c>
    </row>
    <row r="9" spans="1:9">
      <c r="A9" s="1" t="s">
        <v>33</v>
      </c>
      <c r="B9" s="1" t="s">
        <v>109</v>
      </c>
      <c r="C9" s="1" t="s">
        <v>84</v>
      </c>
      <c r="D9" s="1">
        <v>14.363636363636363</v>
      </c>
      <c r="E9" s="1">
        <v>0.97409090909090912</v>
      </c>
      <c r="F9" s="1">
        <v>0.95181818181818179</v>
      </c>
      <c r="G9" s="1">
        <v>83.63636363636364</v>
      </c>
      <c r="H9" s="1" t="b">
        <v>1</v>
      </c>
      <c r="I9" s="1" t="s">
        <v>90</v>
      </c>
    </row>
    <row r="10" spans="1:9">
      <c r="A10" s="1" t="s">
        <v>98</v>
      </c>
      <c r="B10" s="1" t="s">
        <v>110</v>
      </c>
      <c r="C10" s="1" t="s">
        <v>84</v>
      </c>
      <c r="D10" s="1">
        <v>15.272727272727273</v>
      </c>
      <c r="E10" s="1">
        <v>0.97681818181818181</v>
      </c>
      <c r="F10" s="1">
        <v>0.9563636363636363</v>
      </c>
      <c r="G10" s="1">
        <v>87.72727272727272</v>
      </c>
      <c r="H10" s="1" t="b">
        <v>1</v>
      </c>
      <c r="I10" s="1" t="s">
        <v>90</v>
      </c>
    </row>
    <row r="11" spans="1:9">
      <c r="A11" s="1" t="s">
        <v>99</v>
      </c>
      <c r="B11" s="1" t="s">
        <v>111</v>
      </c>
      <c r="C11" s="1" t="s">
        <v>84</v>
      </c>
      <c r="D11" s="1">
        <v>16.18181818181818</v>
      </c>
      <c r="E11" s="1">
        <v>0.9795454545454545</v>
      </c>
      <c r="F11" s="1">
        <v>0.96090909090909093</v>
      </c>
      <c r="G11" s="1">
        <v>91.818181818181813</v>
      </c>
      <c r="H11" s="1" t="b">
        <v>1</v>
      </c>
      <c r="I11" s="1" t="s">
        <v>90</v>
      </c>
    </row>
    <row r="12" spans="1:9">
      <c r="A12" s="1" t="s">
        <v>100</v>
      </c>
      <c r="B12" s="1" t="s">
        <v>112</v>
      </c>
      <c r="C12" s="1" t="s">
        <v>84</v>
      </c>
      <c r="D12" s="1">
        <v>17.090909090909093</v>
      </c>
      <c r="E12" s="1">
        <v>0.9822727272727273</v>
      </c>
      <c r="F12" s="1">
        <v>0.96545454545454545</v>
      </c>
      <c r="G12" s="1">
        <v>95.909090909090907</v>
      </c>
      <c r="H12" s="1" t="b">
        <v>1</v>
      </c>
      <c r="I12" s="1" t="s">
        <v>90</v>
      </c>
    </row>
    <row r="13" spans="1:9">
      <c r="A13" s="1" t="s">
        <v>101</v>
      </c>
      <c r="B13" s="1" t="s">
        <v>113</v>
      </c>
      <c r="C13" s="1" t="s">
        <v>84</v>
      </c>
      <c r="D13" s="1">
        <v>18</v>
      </c>
      <c r="E13" s="1">
        <v>0.98499999999999999</v>
      </c>
      <c r="F13" s="1">
        <v>0.97</v>
      </c>
      <c r="G13" s="1">
        <v>100</v>
      </c>
      <c r="H13" s="1" t="b">
        <v>1</v>
      </c>
      <c r="I13" s="1" t="s">
        <v>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workbookViewId="0"/>
  </sheetViews>
  <sheetFormatPr defaultRowHeight="14.4"/>
  <cols>
    <col min="1" max="1" width="15.5546875" customWidth="1"/>
    <col min="2" max="2" width="26.21875" bestFit="1" customWidth="1"/>
    <col min="3" max="3" width="21.88671875" customWidth="1"/>
    <col min="4" max="4" width="15.21875" customWidth="1"/>
    <col min="5" max="5" width="17.77734375" customWidth="1"/>
    <col min="6" max="6" width="20.109375" customWidth="1"/>
    <col min="7" max="7" width="16.109375" customWidth="1"/>
    <col min="8" max="8" width="22" customWidth="1"/>
    <col min="9" max="9" width="63.109375" bestFit="1" customWidth="1"/>
  </cols>
  <sheetData>
    <row r="1" spans="1:9">
      <c r="A1" s="2" t="s">
        <v>58</v>
      </c>
      <c r="B1" s="2" t="s">
        <v>70</v>
      </c>
      <c r="C1" s="2" t="s">
        <v>141</v>
      </c>
      <c r="D1" s="2" t="s">
        <v>142</v>
      </c>
      <c r="E1" s="2" t="s">
        <v>143</v>
      </c>
      <c r="F1" s="2" t="s">
        <v>144</v>
      </c>
      <c r="G1" s="2" t="s">
        <v>145</v>
      </c>
      <c r="H1" s="2" t="s">
        <v>88</v>
      </c>
      <c r="I1" s="2" t="s">
        <v>89</v>
      </c>
    </row>
    <row r="2" spans="1:9">
      <c r="A2" s="1" t="s">
        <v>34</v>
      </c>
      <c r="B2" s="1" t="s">
        <v>129</v>
      </c>
      <c r="C2" s="1">
        <v>19000</v>
      </c>
      <c r="D2" s="1">
        <v>11500</v>
      </c>
      <c r="E2" s="1">
        <v>0</v>
      </c>
      <c r="F2" s="1">
        <v>75</v>
      </c>
      <c r="G2" s="1">
        <v>200</v>
      </c>
      <c r="H2" s="1" t="b">
        <v>1</v>
      </c>
      <c r="I2" s="1" t="s">
        <v>146</v>
      </c>
    </row>
    <row r="3" spans="1:9">
      <c r="A3" s="1" t="s">
        <v>118</v>
      </c>
      <c r="B3" s="1" t="s">
        <v>130</v>
      </c>
      <c r="C3" s="1">
        <v>22700</v>
      </c>
      <c r="D3" s="1">
        <v>11772.727272727272</v>
      </c>
      <c r="E3" s="1">
        <v>6</v>
      </c>
      <c r="F3" s="1">
        <v>75</v>
      </c>
      <c r="G3" s="1">
        <v>245.45454545454544</v>
      </c>
      <c r="H3" s="1" t="b">
        <v>1</v>
      </c>
      <c r="I3" s="1" t="s">
        <v>146</v>
      </c>
    </row>
    <row r="4" spans="1:9">
      <c r="A4" s="1" t="s">
        <v>119</v>
      </c>
      <c r="B4" s="1" t="s">
        <v>131</v>
      </c>
      <c r="C4" s="1">
        <v>26500</v>
      </c>
      <c r="D4" s="1">
        <v>12045.454545454546</v>
      </c>
      <c r="E4" s="1">
        <v>12</v>
      </c>
      <c r="F4" s="1">
        <v>75</v>
      </c>
      <c r="G4" s="1">
        <v>290.90909090909088</v>
      </c>
      <c r="H4" s="1" t="b">
        <v>1</v>
      </c>
      <c r="I4" s="1" t="s">
        <v>146</v>
      </c>
    </row>
    <row r="5" spans="1:9">
      <c r="A5" s="1" t="s">
        <v>120</v>
      </c>
      <c r="B5" s="1" t="s">
        <v>132</v>
      </c>
      <c r="C5" s="1">
        <v>30200</v>
      </c>
      <c r="D5" s="1">
        <v>12318.181818181818</v>
      </c>
      <c r="E5" s="1">
        <v>18</v>
      </c>
      <c r="F5" s="1">
        <v>75</v>
      </c>
      <c r="G5" s="1">
        <v>336.36363636363637</v>
      </c>
      <c r="H5" s="1" t="b">
        <v>1</v>
      </c>
      <c r="I5" s="1" t="s">
        <v>146</v>
      </c>
    </row>
    <row r="6" spans="1:9">
      <c r="A6" s="1" t="s">
        <v>121</v>
      </c>
      <c r="B6" s="1" t="s">
        <v>133</v>
      </c>
      <c r="C6" s="1">
        <v>33900</v>
      </c>
      <c r="D6" s="1">
        <v>12590.909090909092</v>
      </c>
      <c r="E6" s="1">
        <v>24</v>
      </c>
      <c r="F6" s="1">
        <v>75</v>
      </c>
      <c r="G6" s="1">
        <v>381.81818181818181</v>
      </c>
      <c r="H6" s="1" t="b">
        <v>1</v>
      </c>
      <c r="I6" s="1" t="s">
        <v>146</v>
      </c>
    </row>
    <row r="7" spans="1:9">
      <c r="A7" s="1" t="s">
        <v>122</v>
      </c>
      <c r="B7" s="1" t="s">
        <v>134</v>
      </c>
      <c r="C7" s="1">
        <v>37600</v>
      </c>
      <c r="D7" s="1">
        <v>12863.636363636364</v>
      </c>
      <c r="E7" s="1">
        <v>30</v>
      </c>
      <c r="F7" s="1">
        <v>75</v>
      </c>
      <c r="G7" s="1">
        <v>427.27272727272725</v>
      </c>
      <c r="H7" s="1" t="b">
        <v>1</v>
      </c>
      <c r="I7" s="1" t="s">
        <v>146</v>
      </c>
    </row>
    <row r="8" spans="1:9">
      <c r="A8" s="1" t="s">
        <v>123</v>
      </c>
      <c r="B8" s="1" t="s">
        <v>135</v>
      </c>
      <c r="C8" s="1">
        <v>41400</v>
      </c>
      <c r="D8" s="1">
        <v>13136.363636363636</v>
      </c>
      <c r="E8" s="1">
        <v>35</v>
      </c>
      <c r="F8" s="1">
        <v>75</v>
      </c>
      <c r="G8" s="1">
        <v>472.72727272727275</v>
      </c>
      <c r="H8" s="1" t="b">
        <v>1</v>
      </c>
      <c r="I8" s="1" t="s">
        <v>146</v>
      </c>
    </row>
    <row r="9" spans="1:9">
      <c r="A9" s="1" t="s">
        <v>124</v>
      </c>
      <c r="B9" s="1" t="s">
        <v>136</v>
      </c>
      <c r="C9" s="1">
        <v>45100</v>
      </c>
      <c r="D9" s="1">
        <v>13409.090909090908</v>
      </c>
      <c r="E9" s="1">
        <v>41</v>
      </c>
      <c r="F9" s="1">
        <v>75</v>
      </c>
      <c r="G9" s="1">
        <v>518.18181818181824</v>
      </c>
      <c r="H9" s="1" t="b">
        <v>1</v>
      </c>
      <c r="I9" s="1" t="s">
        <v>146</v>
      </c>
    </row>
    <row r="10" spans="1:9">
      <c r="A10" s="1" t="s">
        <v>125</v>
      </c>
      <c r="B10" s="1" t="s">
        <v>137</v>
      </c>
      <c r="C10" s="1">
        <v>48800</v>
      </c>
      <c r="D10" s="1">
        <v>13681.818181818182</v>
      </c>
      <c r="E10" s="1">
        <v>47</v>
      </c>
      <c r="F10" s="1">
        <v>75</v>
      </c>
      <c r="G10" s="1">
        <v>563.63636363636363</v>
      </c>
      <c r="H10" s="1" t="b">
        <v>1</v>
      </c>
      <c r="I10" s="1" t="s">
        <v>146</v>
      </c>
    </row>
    <row r="11" spans="1:9">
      <c r="A11" s="1" t="s">
        <v>126</v>
      </c>
      <c r="B11" s="1" t="s">
        <v>138</v>
      </c>
      <c r="C11" s="1">
        <v>52500</v>
      </c>
      <c r="D11" s="1">
        <v>13954.545454545454</v>
      </c>
      <c r="E11" s="1">
        <v>53</v>
      </c>
      <c r="F11" s="1">
        <v>75</v>
      </c>
      <c r="G11" s="1">
        <v>609.09090909090901</v>
      </c>
      <c r="H11" s="1" t="b">
        <v>1</v>
      </c>
      <c r="I11" s="1" t="s">
        <v>146</v>
      </c>
    </row>
    <row r="12" spans="1:9">
      <c r="A12" s="1" t="s">
        <v>127</v>
      </c>
      <c r="B12" s="1" t="s">
        <v>139</v>
      </c>
      <c r="C12" s="1">
        <v>56300</v>
      </c>
      <c r="D12" s="1">
        <v>14227.272727272728</v>
      </c>
      <c r="E12" s="1">
        <v>59</v>
      </c>
      <c r="F12" s="1">
        <v>75</v>
      </c>
      <c r="G12" s="1">
        <v>654.5454545454545</v>
      </c>
      <c r="H12" s="1" t="b">
        <v>1</v>
      </c>
      <c r="I12" s="1" t="s">
        <v>146</v>
      </c>
    </row>
    <row r="13" spans="1:9">
      <c r="A13" s="1" t="s">
        <v>128</v>
      </c>
      <c r="B13" s="1" t="s">
        <v>140</v>
      </c>
      <c r="C13" s="1">
        <v>60000</v>
      </c>
      <c r="D13" s="1">
        <v>14500</v>
      </c>
      <c r="E13" s="1">
        <v>65</v>
      </c>
      <c r="F13" s="1">
        <v>75</v>
      </c>
      <c r="G13" s="1">
        <v>700</v>
      </c>
      <c r="H13" s="1" t="b">
        <v>1</v>
      </c>
      <c r="I13" s="1" t="s">
        <v>146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"/>
  <sheetViews>
    <sheetView workbookViewId="0"/>
  </sheetViews>
  <sheetFormatPr defaultRowHeight="14.4"/>
  <cols>
    <col min="1" max="1" width="15.109375" customWidth="1"/>
    <col min="2" max="3" width="17.33203125" customWidth="1"/>
    <col min="4" max="4" width="29.109375" customWidth="1"/>
    <col min="5" max="5" width="13" customWidth="1"/>
    <col min="6" max="6" width="22.44140625" customWidth="1"/>
    <col min="7" max="7" width="24.33203125" customWidth="1"/>
    <col min="8" max="8" width="30.33203125" customWidth="1"/>
    <col min="9" max="9" width="16.21875" customWidth="1"/>
  </cols>
  <sheetData>
    <row r="1" spans="1:9">
      <c r="A1" s="2" t="s">
        <v>147</v>
      </c>
      <c r="B1" s="2" t="s">
        <v>148</v>
      </c>
      <c r="C1" s="2" t="s">
        <v>149</v>
      </c>
      <c r="D1" s="2" t="s">
        <v>86</v>
      </c>
      <c r="E1" s="2" t="s">
        <v>150</v>
      </c>
      <c r="F1" s="2" t="s">
        <v>151</v>
      </c>
      <c r="G1" s="2" t="s">
        <v>152</v>
      </c>
      <c r="H1" s="2" t="s">
        <v>153</v>
      </c>
      <c r="I1" s="2" t="s">
        <v>154</v>
      </c>
    </row>
    <row r="2" spans="1:9">
      <c r="A2" s="1">
        <v>9.81</v>
      </c>
      <c r="B2" s="1">
        <v>0.62</v>
      </c>
      <c r="C2" s="1">
        <v>7.8</v>
      </c>
      <c r="D2" s="1">
        <v>6.4999999999999997E-3</v>
      </c>
      <c r="E2" s="1">
        <v>420</v>
      </c>
      <c r="F2" s="1">
        <v>0.96</v>
      </c>
      <c r="G2" s="1">
        <v>0.3</v>
      </c>
      <c r="H2" s="1">
        <v>1E-3</v>
      </c>
      <c r="I2" s="1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3"/>
  <sheetViews>
    <sheetView workbookViewId="0"/>
  </sheetViews>
  <sheetFormatPr defaultRowHeight="14.4"/>
  <cols>
    <col min="1" max="1" width="15.5546875" customWidth="1"/>
    <col min="2" max="2" width="17" bestFit="1" customWidth="1"/>
    <col min="3" max="3" width="17" customWidth="1"/>
    <col min="4" max="4" width="22.77734375" customWidth="1"/>
    <col min="5" max="5" width="21.6640625" customWidth="1"/>
    <col min="6" max="6" width="24.5546875" customWidth="1"/>
    <col min="7" max="7" width="22" customWidth="1"/>
    <col min="8" max="8" width="31.77734375" bestFit="1" customWidth="1"/>
  </cols>
  <sheetData>
    <row r="1" spans="1:8">
      <c r="A1" s="2" t="s">
        <v>58</v>
      </c>
      <c r="B1" s="2" t="s">
        <v>70</v>
      </c>
      <c r="C1" s="2" t="s">
        <v>178</v>
      </c>
      <c r="D1" s="2" t="s">
        <v>179</v>
      </c>
      <c r="E1" s="2" t="s">
        <v>180</v>
      </c>
      <c r="F1" s="2" t="s">
        <v>181</v>
      </c>
      <c r="G1" s="2" t="s">
        <v>88</v>
      </c>
      <c r="H1" s="2" t="s">
        <v>89</v>
      </c>
    </row>
    <row r="2" spans="1:8">
      <c r="A2" s="1" t="s">
        <v>155</v>
      </c>
      <c r="B2" s="1" t="s">
        <v>166</v>
      </c>
      <c r="C2" s="1">
        <v>4</v>
      </c>
      <c r="D2" s="1">
        <v>0.2</v>
      </c>
      <c r="E2" s="1">
        <v>0.25</v>
      </c>
      <c r="F2" s="1">
        <v>18</v>
      </c>
      <c r="G2" s="1" t="b">
        <v>1</v>
      </c>
      <c r="H2" s="1" t="s">
        <v>90</v>
      </c>
    </row>
    <row r="3" spans="1:8">
      <c r="A3" s="1" t="s">
        <v>156</v>
      </c>
      <c r="B3" s="1" t="s">
        <v>167</v>
      </c>
      <c r="C3" s="1">
        <v>5.6363636363636367</v>
      </c>
      <c r="D3" s="1">
        <v>0.24090909090909091</v>
      </c>
      <c r="E3" s="1">
        <v>0.30454545454545456</v>
      </c>
      <c r="F3" s="1">
        <v>18.545454545454547</v>
      </c>
      <c r="G3" s="1" t="b">
        <v>1</v>
      </c>
      <c r="H3" s="1" t="s">
        <v>90</v>
      </c>
    </row>
    <row r="4" spans="1:8">
      <c r="A4" s="1" t="s">
        <v>157</v>
      </c>
      <c r="B4" s="1" t="s">
        <v>168</v>
      </c>
      <c r="C4" s="1">
        <v>7.2727272727272734</v>
      </c>
      <c r="D4" s="1">
        <v>0.28181818181818186</v>
      </c>
      <c r="E4" s="1">
        <v>0.35909090909090907</v>
      </c>
      <c r="F4" s="1">
        <v>19.09090909090909</v>
      </c>
      <c r="G4" s="1" t="b">
        <v>1</v>
      </c>
      <c r="H4" s="1" t="s">
        <v>90</v>
      </c>
    </row>
    <row r="5" spans="1:8">
      <c r="A5" s="1" t="s">
        <v>35</v>
      </c>
      <c r="B5" s="1" t="s">
        <v>169</v>
      </c>
      <c r="C5" s="1">
        <v>8.9090909090909101</v>
      </c>
      <c r="D5" s="1">
        <v>0.32272727272727275</v>
      </c>
      <c r="E5" s="1">
        <v>0.41363636363636358</v>
      </c>
      <c r="F5" s="1">
        <v>19.636363636363637</v>
      </c>
      <c r="G5" s="1" t="b">
        <v>1</v>
      </c>
      <c r="H5" s="1" t="s">
        <v>90</v>
      </c>
    </row>
    <row r="6" spans="1:8">
      <c r="A6" s="1" t="s">
        <v>158</v>
      </c>
      <c r="B6" s="1" t="s">
        <v>170</v>
      </c>
      <c r="C6" s="1">
        <v>10.545454545454547</v>
      </c>
      <c r="D6" s="1">
        <v>0.36363636363636365</v>
      </c>
      <c r="E6" s="1">
        <v>0.46818181818181814</v>
      </c>
      <c r="F6" s="1">
        <v>20.18181818181818</v>
      </c>
      <c r="G6" s="1" t="b">
        <v>1</v>
      </c>
      <c r="H6" s="1" t="s">
        <v>90</v>
      </c>
    </row>
    <row r="7" spans="1:8">
      <c r="A7" s="1" t="s">
        <v>159</v>
      </c>
      <c r="B7" s="1" t="s">
        <v>171</v>
      </c>
      <c r="C7" s="1">
        <v>12.181818181818182</v>
      </c>
      <c r="D7" s="1">
        <v>0.40454545454545454</v>
      </c>
      <c r="E7" s="1">
        <v>0.52272727272727271</v>
      </c>
      <c r="F7" s="1">
        <v>20.727272727272727</v>
      </c>
      <c r="G7" s="1" t="b">
        <v>1</v>
      </c>
      <c r="H7" s="1" t="s">
        <v>90</v>
      </c>
    </row>
    <row r="8" spans="1:8">
      <c r="A8" s="1" t="s">
        <v>160</v>
      </c>
      <c r="B8" s="1" t="s">
        <v>172</v>
      </c>
      <c r="C8" s="1">
        <v>13.818181818181818</v>
      </c>
      <c r="D8" s="1">
        <v>0.44545454545454549</v>
      </c>
      <c r="E8" s="1">
        <v>0.57727272727272716</v>
      </c>
      <c r="F8" s="1">
        <v>21.272727272727273</v>
      </c>
      <c r="G8" s="1" t="b">
        <v>1</v>
      </c>
      <c r="H8" s="1" t="s">
        <v>90</v>
      </c>
    </row>
    <row r="9" spans="1:8">
      <c r="A9" s="1" t="s">
        <v>161</v>
      </c>
      <c r="B9" s="1" t="s">
        <v>173</v>
      </c>
      <c r="C9" s="1">
        <v>15.454545454545455</v>
      </c>
      <c r="D9" s="1">
        <v>0.48636363636363639</v>
      </c>
      <c r="E9" s="1">
        <v>0.63181818181818183</v>
      </c>
      <c r="F9" s="1">
        <v>21.81818181818182</v>
      </c>
      <c r="G9" s="1" t="b">
        <v>1</v>
      </c>
      <c r="H9" s="1" t="s">
        <v>90</v>
      </c>
    </row>
    <row r="10" spans="1:8">
      <c r="A10" s="1" t="s">
        <v>162</v>
      </c>
      <c r="B10" s="1" t="s">
        <v>174</v>
      </c>
      <c r="C10" s="1">
        <v>17.090909090909093</v>
      </c>
      <c r="D10" s="1">
        <v>0.52727272727272734</v>
      </c>
      <c r="E10" s="1">
        <v>0.68636363636363629</v>
      </c>
      <c r="F10" s="1">
        <v>22.363636363636363</v>
      </c>
      <c r="G10" s="1" t="b">
        <v>1</v>
      </c>
      <c r="H10" s="1" t="s">
        <v>90</v>
      </c>
    </row>
    <row r="11" spans="1:8">
      <c r="A11" s="1" t="s">
        <v>163</v>
      </c>
      <c r="B11" s="1" t="s">
        <v>175</v>
      </c>
      <c r="C11" s="1">
        <v>18.727272727272727</v>
      </c>
      <c r="D11" s="1">
        <v>0.56818181818181812</v>
      </c>
      <c r="E11" s="1">
        <v>0.74090909090909085</v>
      </c>
      <c r="F11" s="1">
        <v>22.90909090909091</v>
      </c>
      <c r="G11" s="1" t="b">
        <v>1</v>
      </c>
      <c r="H11" s="1" t="s">
        <v>90</v>
      </c>
    </row>
    <row r="12" spans="1:8">
      <c r="A12" s="1" t="s">
        <v>164</v>
      </c>
      <c r="B12" s="1" t="s">
        <v>176</v>
      </c>
      <c r="C12" s="1">
        <v>20.363636363636363</v>
      </c>
      <c r="D12" s="1">
        <v>0.60909090909090913</v>
      </c>
      <c r="E12" s="1">
        <v>0.79545454545454541</v>
      </c>
      <c r="F12" s="1">
        <v>23.454545454545453</v>
      </c>
      <c r="G12" s="1" t="b">
        <v>1</v>
      </c>
      <c r="H12" s="1" t="s">
        <v>90</v>
      </c>
    </row>
    <row r="13" spans="1:8">
      <c r="A13" s="1" t="s">
        <v>165</v>
      </c>
      <c r="B13" s="1" t="s">
        <v>177</v>
      </c>
      <c r="C13" s="1">
        <v>22</v>
      </c>
      <c r="D13" s="1">
        <v>0.65</v>
      </c>
      <c r="E13" s="1">
        <v>0.85</v>
      </c>
      <c r="F13" s="1">
        <v>24</v>
      </c>
      <c r="G13" s="1" t="b">
        <v>1</v>
      </c>
      <c r="H13" s="1" t="s">
        <v>90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"/>
  <sheetViews>
    <sheetView workbookViewId="0"/>
  </sheetViews>
  <sheetFormatPr defaultRowHeight="14.4"/>
  <cols>
    <col min="1" max="1" width="15.5546875" customWidth="1"/>
    <col min="2" max="2" width="10.88671875" bestFit="1" customWidth="1"/>
    <col min="3" max="3" width="17" customWidth="1"/>
    <col min="4" max="4" width="19.109375" customWidth="1"/>
    <col min="5" max="5" width="16.77734375" customWidth="1"/>
    <col min="6" max="6" width="22" customWidth="1"/>
    <col min="7" max="7" width="31.77734375" bestFit="1" customWidth="1"/>
  </cols>
  <sheetData>
    <row r="1" spans="1:7">
      <c r="A1" s="2" t="s">
        <v>58</v>
      </c>
      <c r="B1" s="2" t="s">
        <v>70</v>
      </c>
      <c r="C1" s="2" t="s">
        <v>205</v>
      </c>
      <c r="D1" s="2" t="s">
        <v>206</v>
      </c>
      <c r="E1" s="2" t="s">
        <v>207</v>
      </c>
      <c r="F1" s="2" t="s">
        <v>88</v>
      </c>
      <c r="G1" s="2" t="s">
        <v>89</v>
      </c>
    </row>
    <row r="2" spans="1:7">
      <c r="A2" s="1" t="s">
        <v>182</v>
      </c>
      <c r="B2" s="1" t="s">
        <v>193</v>
      </c>
      <c r="C2" s="1">
        <v>-10</v>
      </c>
      <c r="D2" s="1">
        <v>1.34</v>
      </c>
      <c r="E2" s="1">
        <v>0</v>
      </c>
      <c r="F2" s="1" t="b">
        <v>1</v>
      </c>
      <c r="G2" s="1" t="s">
        <v>90</v>
      </c>
    </row>
    <row r="3" spans="1:7">
      <c r="A3" s="1" t="s">
        <v>183</v>
      </c>
      <c r="B3" s="1" t="s">
        <v>194</v>
      </c>
      <c r="C3" s="1">
        <v>-5</v>
      </c>
      <c r="D3" s="1">
        <v>1.32</v>
      </c>
      <c r="E3" s="1">
        <v>1.0909090909090908</v>
      </c>
      <c r="F3" s="1" t="b">
        <v>1</v>
      </c>
      <c r="G3" s="1" t="s">
        <v>90</v>
      </c>
    </row>
    <row r="4" spans="1:7">
      <c r="A4" s="1" t="s">
        <v>184</v>
      </c>
      <c r="B4" s="1" t="s">
        <v>195</v>
      </c>
      <c r="C4" s="1">
        <v>0</v>
      </c>
      <c r="D4" s="1">
        <v>1.3</v>
      </c>
      <c r="E4" s="1">
        <v>2.1818181818181817</v>
      </c>
      <c r="F4" s="1" t="b">
        <v>1</v>
      </c>
      <c r="G4" s="1" t="s">
        <v>90</v>
      </c>
    </row>
    <row r="5" spans="1:7">
      <c r="A5" s="1" t="s">
        <v>185</v>
      </c>
      <c r="B5" s="1" t="s">
        <v>196</v>
      </c>
      <c r="C5" s="1">
        <v>5</v>
      </c>
      <c r="D5" s="1">
        <v>1.28</v>
      </c>
      <c r="E5" s="1">
        <v>3.2727272727272729</v>
      </c>
      <c r="F5" s="1" t="b">
        <v>1</v>
      </c>
      <c r="G5" s="1" t="s">
        <v>90</v>
      </c>
    </row>
    <row r="6" spans="1:7">
      <c r="A6" s="1" t="s">
        <v>186</v>
      </c>
      <c r="B6" s="1" t="s">
        <v>197</v>
      </c>
      <c r="C6" s="1">
        <v>10</v>
      </c>
      <c r="D6" s="1">
        <v>1.26</v>
      </c>
      <c r="E6" s="1">
        <v>4.3636363636363633</v>
      </c>
      <c r="F6" s="1" t="b">
        <v>1</v>
      </c>
      <c r="G6" s="1" t="s">
        <v>90</v>
      </c>
    </row>
    <row r="7" spans="1:7">
      <c r="A7" s="1" t="s">
        <v>187</v>
      </c>
      <c r="B7" s="1" t="s">
        <v>198</v>
      </c>
      <c r="C7" s="1">
        <v>15</v>
      </c>
      <c r="D7" s="1">
        <v>1.24</v>
      </c>
      <c r="E7" s="1">
        <v>5.4545454545454541</v>
      </c>
      <c r="F7" s="1" t="b">
        <v>1</v>
      </c>
      <c r="G7" s="1" t="s">
        <v>90</v>
      </c>
    </row>
    <row r="8" spans="1:7">
      <c r="A8" s="1" t="s">
        <v>36</v>
      </c>
      <c r="B8" s="1" t="s">
        <v>199</v>
      </c>
      <c r="C8" s="1">
        <v>20</v>
      </c>
      <c r="D8" s="1">
        <v>1.2200000000000002</v>
      </c>
      <c r="E8" s="1">
        <v>6.5454545454545459</v>
      </c>
      <c r="F8" s="1" t="b">
        <v>1</v>
      </c>
      <c r="G8" s="1" t="s">
        <v>90</v>
      </c>
    </row>
    <row r="9" spans="1:7">
      <c r="A9" s="1" t="s">
        <v>188</v>
      </c>
      <c r="B9" s="1" t="s">
        <v>200</v>
      </c>
      <c r="C9" s="1">
        <v>25</v>
      </c>
      <c r="D9" s="1">
        <v>1.2000000000000002</v>
      </c>
      <c r="E9" s="1">
        <v>7.6363636363636367</v>
      </c>
      <c r="F9" s="1" t="b">
        <v>1</v>
      </c>
      <c r="G9" s="1" t="s">
        <v>90</v>
      </c>
    </row>
    <row r="10" spans="1:7">
      <c r="A10" s="1" t="s">
        <v>189</v>
      </c>
      <c r="B10" s="1" t="s">
        <v>201</v>
      </c>
      <c r="C10" s="1">
        <v>30</v>
      </c>
      <c r="D10" s="1">
        <v>1.1800000000000002</v>
      </c>
      <c r="E10" s="1">
        <v>8.7272727272727266</v>
      </c>
      <c r="F10" s="1" t="b">
        <v>1</v>
      </c>
      <c r="G10" s="1" t="s">
        <v>90</v>
      </c>
    </row>
    <row r="11" spans="1:7">
      <c r="A11" s="1" t="s">
        <v>190</v>
      </c>
      <c r="B11" s="1" t="s">
        <v>202</v>
      </c>
      <c r="C11" s="1">
        <v>35</v>
      </c>
      <c r="D11" s="1">
        <v>1.1600000000000001</v>
      </c>
      <c r="E11" s="1">
        <v>9.8181818181818183</v>
      </c>
      <c r="F11" s="1" t="b">
        <v>1</v>
      </c>
      <c r="G11" s="1" t="s">
        <v>90</v>
      </c>
    </row>
    <row r="12" spans="1:7">
      <c r="A12" s="1" t="s">
        <v>191</v>
      </c>
      <c r="B12" s="1" t="s">
        <v>203</v>
      </c>
      <c r="C12" s="1">
        <v>40</v>
      </c>
      <c r="D12" s="1">
        <v>1.1400000000000001</v>
      </c>
      <c r="E12" s="1">
        <v>10.909090909090908</v>
      </c>
      <c r="F12" s="1" t="b">
        <v>1</v>
      </c>
      <c r="G12" s="1" t="s">
        <v>90</v>
      </c>
    </row>
    <row r="13" spans="1:7">
      <c r="A13" s="1" t="s">
        <v>192</v>
      </c>
      <c r="B13" s="1" t="s">
        <v>204</v>
      </c>
      <c r="C13" s="1">
        <v>45</v>
      </c>
      <c r="D13" s="1">
        <v>1.1200000000000001</v>
      </c>
      <c r="E13" s="1">
        <v>12</v>
      </c>
      <c r="F13" s="1" t="b">
        <v>1</v>
      </c>
      <c r="G13" s="1" t="s">
        <v>90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3"/>
  <sheetViews>
    <sheetView workbookViewId="0"/>
  </sheetViews>
  <sheetFormatPr defaultRowHeight="14.4"/>
  <cols>
    <col min="1" max="1" width="15.5546875" customWidth="1"/>
    <col min="2" max="2" width="20.5546875" bestFit="1" customWidth="1"/>
    <col min="3" max="3" width="16.5546875" customWidth="1"/>
    <col min="4" max="4" width="17.5546875" customWidth="1"/>
    <col min="5" max="5" width="17.33203125" customWidth="1"/>
    <col min="6" max="6" width="20" customWidth="1"/>
    <col min="7" max="7" width="18.21875" customWidth="1"/>
    <col min="8" max="8" width="19" customWidth="1"/>
    <col min="9" max="9" width="18.77734375" customWidth="1"/>
    <col min="10" max="10" width="22" customWidth="1"/>
    <col min="11" max="11" width="84" bestFit="1" customWidth="1"/>
  </cols>
  <sheetData>
    <row r="1" spans="1:11">
      <c r="A1" s="2" t="s">
        <v>58</v>
      </c>
      <c r="B1" s="2" t="s">
        <v>70</v>
      </c>
      <c r="C1" s="2" t="s">
        <v>231</v>
      </c>
      <c r="D1" s="2" t="s">
        <v>232</v>
      </c>
      <c r="E1" s="2" t="s">
        <v>233</v>
      </c>
      <c r="F1" s="2" t="s">
        <v>234</v>
      </c>
      <c r="G1" s="2" t="s">
        <v>235</v>
      </c>
      <c r="H1" s="2" t="s">
        <v>236</v>
      </c>
      <c r="I1" s="2" t="s">
        <v>237</v>
      </c>
      <c r="J1" s="2" t="s">
        <v>88</v>
      </c>
      <c r="K1" s="2" t="s">
        <v>89</v>
      </c>
    </row>
    <row r="2" spans="1:11">
      <c r="A2" s="1" t="s">
        <v>208</v>
      </c>
      <c r="B2" s="1" t="s">
        <v>219</v>
      </c>
      <c r="C2" s="1">
        <v>0.3</v>
      </c>
      <c r="D2" s="1">
        <v>0.34</v>
      </c>
      <c r="E2" s="1">
        <v>0.55000000000000004</v>
      </c>
      <c r="F2" s="1">
        <v>0.68</v>
      </c>
      <c r="G2" s="1">
        <v>60</v>
      </c>
      <c r="H2" s="1">
        <v>40</v>
      </c>
      <c r="I2" s="1">
        <v>0.95</v>
      </c>
      <c r="J2" s="1" t="b">
        <v>1</v>
      </c>
      <c r="K2" s="1" t="s">
        <v>238</v>
      </c>
    </row>
    <row r="3" spans="1:11">
      <c r="A3" s="1" t="s">
        <v>209</v>
      </c>
      <c r="B3" s="1" t="s">
        <v>220</v>
      </c>
      <c r="C3" s="1">
        <v>0.3</v>
      </c>
      <c r="D3" s="1">
        <v>0.35454545454545455</v>
      </c>
      <c r="E3" s="1">
        <v>0.56363636363636371</v>
      </c>
      <c r="F3" s="1">
        <v>0.69272727272727275</v>
      </c>
      <c r="G3" s="1">
        <v>70.909090909090907</v>
      </c>
      <c r="H3" s="1">
        <v>45.454545454545453</v>
      </c>
      <c r="I3" s="1">
        <v>0.95</v>
      </c>
      <c r="J3" s="1" t="b">
        <v>1</v>
      </c>
      <c r="K3" s="1" t="s">
        <v>238</v>
      </c>
    </row>
    <row r="4" spans="1:11">
      <c r="A4" s="1" t="s">
        <v>210</v>
      </c>
      <c r="B4" s="1" t="s">
        <v>221</v>
      </c>
      <c r="C4" s="1">
        <v>0.3</v>
      </c>
      <c r="D4" s="1">
        <v>0.36909090909090914</v>
      </c>
      <c r="E4" s="1">
        <v>0.57727272727272727</v>
      </c>
      <c r="F4" s="1">
        <v>0.70545454545454545</v>
      </c>
      <c r="G4" s="1">
        <v>81.818181818181813</v>
      </c>
      <c r="H4" s="1">
        <v>50.909090909090907</v>
      </c>
      <c r="I4" s="1">
        <v>0.95</v>
      </c>
      <c r="J4" s="1" t="b">
        <v>1</v>
      </c>
      <c r="K4" s="1" t="s">
        <v>238</v>
      </c>
    </row>
    <row r="5" spans="1:11">
      <c r="A5" s="1" t="s">
        <v>211</v>
      </c>
      <c r="B5" s="1" t="s">
        <v>222</v>
      </c>
      <c r="C5" s="1">
        <v>0.3</v>
      </c>
      <c r="D5" s="1">
        <v>0.38363636363636366</v>
      </c>
      <c r="E5" s="1">
        <v>0.59090909090909094</v>
      </c>
      <c r="F5" s="1">
        <v>0.71818181818181825</v>
      </c>
      <c r="G5" s="1">
        <v>92.72727272727272</v>
      </c>
      <c r="H5" s="1">
        <v>56.36363636363636</v>
      </c>
      <c r="I5" s="1">
        <v>0.95</v>
      </c>
      <c r="J5" s="1" t="b">
        <v>1</v>
      </c>
      <c r="K5" s="1" t="s">
        <v>238</v>
      </c>
    </row>
    <row r="6" spans="1:11">
      <c r="A6" s="1" t="s">
        <v>37</v>
      </c>
      <c r="B6" s="1" t="s">
        <v>223</v>
      </c>
      <c r="C6" s="1">
        <v>0.3</v>
      </c>
      <c r="D6" s="1">
        <v>0.39818181818181819</v>
      </c>
      <c r="E6" s="1">
        <v>0.60454545454545461</v>
      </c>
      <c r="F6" s="1">
        <v>0.73090909090909095</v>
      </c>
      <c r="G6" s="1">
        <v>103.63636363636363</v>
      </c>
      <c r="H6" s="1">
        <v>61.818181818181813</v>
      </c>
      <c r="I6" s="1">
        <v>0.95</v>
      </c>
      <c r="J6" s="1" t="b">
        <v>1</v>
      </c>
      <c r="K6" s="1" t="s">
        <v>238</v>
      </c>
    </row>
    <row r="7" spans="1:11">
      <c r="A7" s="1" t="s">
        <v>212</v>
      </c>
      <c r="B7" s="1" t="s">
        <v>224</v>
      </c>
      <c r="C7" s="1">
        <v>0.3</v>
      </c>
      <c r="D7" s="1">
        <v>0.41272727272727272</v>
      </c>
      <c r="E7" s="1">
        <v>0.61818181818181817</v>
      </c>
      <c r="F7" s="1">
        <v>0.74363636363636365</v>
      </c>
      <c r="G7" s="1">
        <v>114.54545454545455</v>
      </c>
      <c r="H7" s="1">
        <v>67.27272727272728</v>
      </c>
      <c r="I7" s="1">
        <v>0.95</v>
      </c>
      <c r="J7" s="1" t="b">
        <v>1</v>
      </c>
      <c r="K7" s="1" t="s">
        <v>238</v>
      </c>
    </row>
    <row r="8" spans="1:11">
      <c r="A8" s="1" t="s">
        <v>213</v>
      </c>
      <c r="B8" s="1" t="s">
        <v>225</v>
      </c>
      <c r="C8" s="1">
        <v>0.3</v>
      </c>
      <c r="D8" s="1">
        <v>0.4272727272727273</v>
      </c>
      <c r="E8" s="1">
        <v>0.63181818181818183</v>
      </c>
      <c r="F8" s="1">
        <v>0.75636363636363635</v>
      </c>
      <c r="G8" s="1">
        <v>125.45454545454545</v>
      </c>
      <c r="H8" s="1">
        <v>72.72727272727272</v>
      </c>
      <c r="I8" s="1">
        <v>0.95</v>
      </c>
      <c r="J8" s="1" t="b">
        <v>1</v>
      </c>
      <c r="K8" s="1" t="s">
        <v>238</v>
      </c>
    </row>
    <row r="9" spans="1:11">
      <c r="A9" s="1" t="s">
        <v>214</v>
      </c>
      <c r="B9" s="1" t="s">
        <v>226</v>
      </c>
      <c r="C9" s="1">
        <v>0.3</v>
      </c>
      <c r="D9" s="1">
        <v>0.44181818181818183</v>
      </c>
      <c r="E9" s="1">
        <v>0.6454545454545455</v>
      </c>
      <c r="F9" s="1">
        <v>0.76909090909090905</v>
      </c>
      <c r="G9" s="1">
        <v>136.36363636363637</v>
      </c>
      <c r="H9" s="1">
        <v>78.181818181818187</v>
      </c>
      <c r="I9" s="1">
        <v>0.95</v>
      </c>
      <c r="J9" s="1" t="b">
        <v>1</v>
      </c>
      <c r="K9" s="1" t="s">
        <v>238</v>
      </c>
    </row>
    <row r="10" spans="1:11">
      <c r="A10" s="1" t="s">
        <v>215</v>
      </c>
      <c r="B10" s="1" t="s">
        <v>227</v>
      </c>
      <c r="C10" s="1">
        <v>0.3</v>
      </c>
      <c r="D10" s="1">
        <v>0.45636363636363636</v>
      </c>
      <c r="E10" s="1">
        <v>0.65909090909090906</v>
      </c>
      <c r="F10" s="1">
        <v>0.78181818181818175</v>
      </c>
      <c r="G10" s="1">
        <v>147.27272727272725</v>
      </c>
      <c r="H10" s="1">
        <v>83.636363636363626</v>
      </c>
      <c r="I10" s="1">
        <v>0.95</v>
      </c>
      <c r="J10" s="1" t="b">
        <v>1</v>
      </c>
      <c r="K10" s="1" t="s">
        <v>238</v>
      </c>
    </row>
    <row r="11" spans="1:11">
      <c r="A11" s="1" t="s">
        <v>216</v>
      </c>
      <c r="B11" s="1" t="s">
        <v>228</v>
      </c>
      <c r="C11" s="1">
        <v>0.3</v>
      </c>
      <c r="D11" s="1">
        <v>0.47090909090909094</v>
      </c>
      <c r="E11" s="1">
        <v>0.67272727272727273</v>
      </c>
      <c r="F11" s="1">
        <v>0.79454545454545455</v>
      </c>
      <c r="G11" s="1">
        <v>158.18181818181819</v>
      </c>
      <c r="H11" s="1">
        <v>89.090909090909093</v>
      </c>
      <c r="I11" s="1">
        <v>0.95</v>
      </c>
      <c r="J11" s="1" t="b">
        <v>1</v>
      </c>
      <c r="K11" s="1" t="s">
        <v>238</v>
      </c>
    </row>
    <row r="12" spans="1:11">
      <c r="A12" s="1" t="s">
        <v>217</v>
      </c>
      <c r="B12" s="1" t="s">
        <v>229</v>
      </c>
      <c r="C12" s="1">
        <v>0.3</v>
      </c>
      <c r="D12" s="1">
        <v>0.48545454545454547</v>
      </c>
      <c r="E12" s="1">
        <v>0.68636363636363629</v>
      </c>
      <c r="F12" s="1">
        <v>0.80727272727272725</v>
      </c>
      <c r="G12" s="1">
        <v>169.09090909090909</v>
      </c>
      <c r="H12" s="1">
        <v>94.545454545454547</v>
      </c>
      <c r="I12" s="1">
        <v>0.95</v>
      </c>
      <c r="J12" s="1" t="b">
        <v>1</v>
      </c>
      <c r="K12" s="1" t="s">
        <v>238</v>
      </c>
    </row>
    <row r="13" spans="1:11">
      <c r="A13" s="1" t="s">
        <v>218</v>
      </c>
      <c r="B13" s="1" t="s">
        <v>230</v>
      </c>
      <c r="C13" s="1">
        <v>0.3</v>
      </c>
      <c r="D13" s="1">
        <v>0.5</v>
      </c>
      <c r="E13" s="1">
        <v>0.7</v>
      </c>
      <c r="F13" s="1">
        <v>0.82</v>
      </c>
      <c r="G13" s="1">
        <v>180</v>
      </c>
      <c r="H13" s="1">
        <v>100</v>
      </c>
      <c r="I13" s="1">
        <v>0.95</v>
      </c>
      <c r="J13" s="1" t="b">
        <v>1</v>
      </c>
      <c r="K13" s="1" t="s">
        <v>238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"/>
  <sheetViews>
    <sheetView workbookViewId="0"/>
  </sheetViews>
  <sheetFormatPr defaultRowHeight="14.4"/>
  <cols>
    <col min="1" max="1" width="17.44140625" customWidth="1"/>
    <col min="2" max="2" width="25.88671875" customWidth="1"/>
    <col min="3" max="3" width="23.6640625" customWidth="1"/>
  </cols>
  <sheetData>
    <row r="1" spans="1:3">
      <c r="A1" s="2" t="s">
        <v>239</v>
      </c>
      <c r="B1" s="2" t="s">
        <v>240</v>
      </c>
      <c r="C1" s="2" t="s">
        <v>241</v>
      </c>
    </row>
    <row r="2" spans="1:3">
      <c r="A2" s="1">
        <v>2.1</v>
      </c>
      <c r="B2" s="1">
        <v>0.4</v>
      </c>
      <c r="C2" s="1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"/>
  <sheetViews>
    <sheetView workbookViewId="0"/>
  </sheetViews>
  <sheetFormatPr defaultRowHeight="14.4"/>
  <cols>
    <col min="1" max="1" width="20" customWidth="1"/>
    <col min="2" max="2" width="20.109375" customWidth="1"/>
    <col min="3" max="3" width="23.6640625" customWidth="1"/>
    <col min="4" max="4" width="23.44140625" bestFit="1" customWidth="1"/>
  </cols>
  <sheetData>
    <row r="1" spans="1:4">
      <c r="A1" s="2" t="s">
        <v>242</v>
      </c>
      <c r="B1" s="2" t="s">
        <v>243</v>
      </c>
      <c r="C1" s="2" t="s">
        <v>244</v>
      </c>
      <c r="D1" s="2" t="s">
        <v>245</v>
      </c>
    </row>
    <row r="2" spans="1:4">
      <c r="A2" s="1">
        <v>100</v>
      </c>
      <c r="B2" s="1" t="b">
        <v>1</v>
      </c>
      <c r="C2" s="1">
        <v>0.03</v>
      </c>
      <c r="D2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/>
  </sheetViews>
  <sheetFormatPr defaultRowHeight="14.4"/>
  <cols>
    <col min="1" max="1" width="12.33203125" bestFit="1" customWidth="1"/>
    <col min="2" max="2" width="58.44140625" bestFit="1" customWidth="1"/>
    <col min="3" max="3" width="11.77734375" bestFit="1" customWidth="1"/>
  </cols>
  <sheetData>
    <row r="1" spans="1:3">
      <c r="A1" s="2" t="s">
        <v>246</v>
      </c>
      <c r="B1" s="2" t="s">
        <v>253</v>
      </c>
      <c r="C1" s="2" t="s">
        <v>260</v>
      </c>
    </row>
    <row r="2" spans="1:3">
      <c r="A2" s="1" t="s">
        <v>247</v>
      </c>
      <c r="B2" s="1" t="s">
        <v>254</v>
      </c>
      <c r="C2" s="1" t="s">
        <v>261</v>
      </c>
    </row>
    <row r="3" spans="1:3">
      <c r="A3" s="1" t="s">
        <v>248</v>
      </c>
      <c r="B3" s="1" t="s">
        <v>255</v>
      </c>
      <c r="C3" s="1" t="s">
        <v>261</v>
      </c>
    </row>
    <row r="4" spans="1:3">
      <c r="A4" s="1" t="s">
        <v>249</v>
      </c>
      <c r="B4" s="1" t="s">
        <v>256</v>
      </c>
      <c r="C4" s="1" t="s">
        <v>262</v>
      </c>
    </row>
    <row r="5" spans="1:3">
      <c r="A5" s="1" t="s">
        <v>250</v>
      </c>
      <c r="B5" s="1" t="s">
        <v>257</v>
      </c>
      <c r="C5" s="1" t="s">
        <v>263</v>
      </c>
    </row>
    <row r="6" spans="1:3">
      <c r="A6" s="1" t="s">
        <v>251</v>
      </c>
      <c r="B6" s="1" t="s">
        <v>258</v>
      </c>
      <c r="C6" s="1" t="s">
        <v>54</v>
      </c>
    </row>
    <row r="7" spans="1:3">
      <c r="A7" s="1" t="s">
        <v>252</v>
      </c>
      <c r="B7" s="1" t="s">
        <v>259</v>
      </c>
      <c r="C7" s="1" t="s">
        <v>264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0"/>
  <sheetViews>
    <sheetView workbookViewId="0"/>
  </sheetViews>
  <sheetFormatPr defaultRowHeight="14.4"/>
  <cols>
    <col min="1" max="1" width="16.77734375" bestFit="1" customWidth="1"/>
    <col min="2" max="2" width="9.77734375" customWidth="1"/>
    <col min="3" max="3" width="104.44140625" bestFit="1" customWidth="1"/>
    <col min="4" max="4" width="8.88671875" customWidth="1"/>
  </cols>
  <sheetData>
    <row r="1" spans="1:4">
      <c r="A1" s="2" t="s">
        <v>265</v>
      </c>
      <c r="B1" s="2" t="s">
        <v>266</v>
      </c>
      <c r="C1" s="2" t="s">
        <v>285</v>
      </c>
      <c r="D1" s="2" t="s">
        <v>305</v>
      </c>
    </row>
    <row r="2" spans="1:4">
      <c r="A2" s="3">
        <v>46263.875444896701</v>
      </c>
      <c r="B2" s="1" t="s">
        <v>267</v>
      </c>
      <c r="C2" s="1" t="s">
        <v>286</v>
      </c>
      <c r="D2" s="1" t="s">
        <v>306</v>
      </c>
    </row>
    <row r="3" spans="1:4">
      <c r="A3" s="3">
        <v>46263.875444896701</v>
      </c>
      <c r="B3" s="1" t="s">
        <v>268</v>
      </c>
      <c r="C3" s="1" t="s">
        <v>287</v>
      </c>
      <c r="D3" s="1" t="s">
        <v>306</v>
      </c>
    </row>
    <row r="4" spans="1:4">
      <c r="A4" s="3">
        <v>46263.875444896701</v>
      </c>
      <c r="B4" s="1" t="s">
        <v>269</v>
      </c>
      <c r="C4" s="1" t="s">
        <v>288</v>
      </c>
      <c r="D4" s="1" t="s">
        <v>306</v>
      </c>
    </row>
    <row r="5" spans="1:4">
      <c r="A5" s="3">
        <v>46263.875444896701</v>
      </c>
      <c r="B5" s="1" t="s">
        <v>270</v>
      </c>
      <c r="C5" s="1" t="s">
        <v>289</v>
      </c>
      <c r="D5" s="1" t="s">
        <v>306</v>
      </c>
    </row>
    <row r="6" spans="1:4">
      <c r="A6" s="3">
        <v>46263.875444896701</v>
      </c>
      <c r="B6" s="1" t="s">
        <v>271</v>
      </c>
      <c r="C6" s="1" t="s">
        <v>290</v>
      </c>
      <c r="D6" s="1" t="s">
        <v>306</v>
      </c>
    </row>
    <row r="7" spans="1:4">
      <c r="A7" s="3">
        <v>46263.875444896701</v>
      </c>
      <c r="B7" s="1" t="s">
        <v>272</v>
      </c>
      <c r="C7" s="1" t="s">
        <v>291</v>
      </c>
      <c r="D7" s="1" t="s">
        <v>306</v>
      </c>
    </row>
    <row r="8" spans="1:4">
      <c r="A8" s="3">
        <v>46263.875444896701</v>
      </c>
      <c r="B8" s="1" t="s">
        <v>273</v>
      </c>
      <c r="C8" s="1" t="s">
        <v>292</v>
      </c>
      <c r="D8" s="1" t="s">
        <v>306</v>
      </c>
    </row>
    <row r="9" spans="1:4">
      <c r="A9" s="3">
        <v>46263.875444896701</v>
      </c>
      <c r="B9" s="1" t="s">
        <v>274</v>
      </c>
      <c r="C9" s="1" t="s">
        <v>293</v>
      </c>
      <c r="D9" s="1" t="s">
        <v>306</v>
      </c>
    </row>
    <row r="10" spans="1:4">
      <c r="A10" s="3">
        <v>46263.875444896701</v>
      </c>
      <c r="B10" s="1" t="s">
        <v>275</v>
      </c>
      <c r="C10" s="1" t="s">
        <v>294</v>
      </c>
      <c r="D10" s="1" t="s">
        <v>306</v>
      </c>
    </row>
    <row r="11" spans="1:4">
      <c r="A11" s="3">
        <v>46263.875444896701</v>
      </c>
      <c r="B11" s="1" t="s">
        <v>276</v>
      </c>
      <c r="C11" s="1" t="s">
        <v>295</v>
      </c>
      <c r="D11" s="1" t="s">
        <v>306</v>
      </c>
    </row>
    <row r="12" spans="1:4">
      <c r="A12" s="3">
        <v>46263.875444896701</v>
      </c>
      <c r="B12" s="1" t="s">
        <v>277</v>
      </c>
      <c r="C12" s="1" t="s">
        <v>296</v>
      </c>
      <c r="D12" s="1" t="s">
        <v>306</v>
      </c>
    </row>
    <row r="13" spans="1:4">
      <c r="A13" s="3">
        <v>46263.875444896701</v>
      </c>
      <c r="B13" s="1" t="s">
        <v>278</v>
      </c>
      <c r="C13" s="1" t="s">
        <v>297</v>
      </c>
      <c r="D13" s="1" t="s">
        <v>306</v>
      </c>
    </row>
    <row r="14" spans="1:4">
      <c r="A14" s="3">
        <v>46263.875444896701</v>
      </c>
      <c r="B14" s="1" t="s">
        <v>279</v>
      </c>
      <c r="C14" s="1" t="s">
        <v>298</v>
      </c>
      <c r="D14" s="1" t="s">
        <v>306</v>
      </c>
    </row>
    <row r="15" spans="1:4">
      <c r="A15" s="3">
        <v>46263.875444896701</v>
      </c>
      <c r="B15" s="1" t="s">
        <v>280</v>
      </c>
      <c r="C15" s="1" t="s">
        <v>299</v>
      </c>
      <c r="D15" s="1" t="s">
        <v>306</v>
      </c>
    </row>
    <row r="16" spans="1:4">
      <c r="A16" s="3">
        <v>46263.875444896701</v>
      </c>
      <c r="B16" s="1" t="s">
        <v>281</v>
      </c>
      <c r="C16" s="1" t="s">
        <v>300</v>
      </c>
      <c r="D16" s="1" t="s">
        <v>306</v>
      </c>
    </row>
    <row r="17" spans="1:4">
      <c r="A17" s="3">
        <v>46263.875444896701</v>
      </c>
      <c r="B17" s="1" t="s">
        <v>282</v>
      </c>
      <c r="C17" s="1" t="s">
        <v>301</v>
      </c>
      <c r="D17" s="1" t="s">
        <v>306</v>
      </c>
    </row>
    <row r="18" spans="1:4">
      <c r="A18" s="3">
        <v>46263.875444896701</v>
      </c>
      <c r="B18" s="1" t="s">
        <v>283</v>
      </c>
      <c r="C18" s="1" t="s">
        <v>302</v>
      </c>
      <c r="D18" s="1" t="s">
        <v>306</v>
      </c>
    </row>
    <row r="19" spans="1:4">
      <c r="A19" s="3">
        <v>46263.875444896701</v>
      </c>
      <c r="B19" s="1" t="s">
        <v>284</v>
      </c>
      <c r="C19" s="1" t="s">
        <v>303</v>
      </c>
      <c r="D19" s="1" t="s">
        <v>306</v>
      </c>
    </row>
    <row r="20" spans="1:4">
      <c r="A20" s="3">
        <v>46263.875444896701</v>
      </c>
      <c r="B20" s="1" t="s">
        <v>27</v>
      </c>
      <c r="C20" s="1" t="s">
        <v>304</v>
      </c>
      <c r="D20" s="1" t="s">
        <v>306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Dashboard</vt:lpstr>
      <vt:lpstr>Tyre_Catalog</vt:lpstr>
      <vt:lpstr>Final_Drive_Catalog</vt:lpstr>
      <vt:lpstr>Bus_Mass_Catalog</vt:lpstr>
      <vt:lpstr>Vehicle_Parameters</vt:lpstr>
      <vt:lpstr>Aux_Load_Profiles</vt:lpstr>
      <vt:lpstr>Environment</vt:lpstr>
      <vt:lpstr>Control_Calibration</vt:lpstr>
      <vt:lpstr>Energy_Prices</vt:lpstr>
      <vt:lpstr>Optimization_Settings</vt:lpstr>
      <vt:lpstr>Units_and_Definitions</vt:lpstr>
      <vt:lpstr>Change_Log</vt:lpstr>
      <vt:lpstr>AuxIDs</vt:lpstr>
      <vt:lpstr>ControlIDs</vt:lpstr>
      <vt:lpstr>DriveIDs</vt:lpstr>
      <vt:lpstr>EnvironmentIDs</vt:lpstr>
      <vt:lpstr>MassIDs</vt:lpstr>
      <vt:lpstr>TyreIDs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Karuna Mudliyar</cp:lastModifiedBy>
  <dcterms:modified xsi:type="dcterms:W3CDTF">2026-08-29T15:30:41Z</dcterms:modified>
</cp:coreProperties>
</file>